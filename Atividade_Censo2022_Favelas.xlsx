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7FB391DC-7574-F147-92D6-BE33F868C95F}" xr6:coauthVersionLast="47" xr6:coauthVersionMax="47" xr10:uidLastSave="{00000000-0000-0000-0000-000000000000}"/>
  <bookViews>
    <workbookView xWindow="-60" yWindow="-60" windowWidth="15480" windowHeight="11640" firstSheet="1" activeTab="1" xr2:uid="{00000000-000D-0000-FFFF-FFFF00000000}"/>
  </bookViews>
  <sheets>
    <sheet name="in" sheetId="1" r:id="rId1"/>
    <sheet name="Análise" sheetId="2" r:id="rId2"/>
  </sheets>
  <definedNames>
    <definedName name="_xlnm._FilterDatabase" localSheetId="0" hidden="1">in!$A$1:$T$93</definedName>
  </definedNames>
  <calcPr calcId="19102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2" l="1"/>
  <c r="B47" i="2"/>
  <c r="B37" i="2"/>
  <c r="B8" i="2"/>
  <c r="B48" i="2"/>
  <c r="B38" i="2"/>
  <c r="B27" i="2"/>
  <c r="B17" i="2"/>
</calcChain>
</file>

<file path=xl/sharedStrings.xml><?xml version="1.0" encoding="utf-8"?>
<sst xmlns="http://schemas.openxmlformats.org/spreadsheetml/2006/main" count="155" uniqueCount="141">
  <si>
    <t>CENSO 2022 – FAVELAS E COMUNIDADES URBANAS</t>
  </si>
  <si>
    <t>Indicador</t>
  </si>
  <si>
    <t>Valor</t>
  </si>
  <si>
    <t>População total</t>
  </si>
  <si>
    <t>Maior população</t>
  </si>
  <si>
    <t>PERGUNTA 1:</t>
  </si>
  <si>
    <t>Maior densidade</t>
  </si>
  <si>
    <t>QUAL É A POPULAÇÃO TOTAL DAS FAVELAS E COMUNIDADES URBANAS PRESENTES NA TABELA?</t>
  </si>
  <si>
    <t>Total de domicílios</t>
  </si>
  <si>
    <t>Cálculo</t>
  </si>
  <si>
    <t>Resultado</t>
  </si>
  <si>
    <t>Resposta:</t>
  </si>
  <si>
    <t>A soma da coluna de população mostra que as áreas de favelas e comunidades urbanas analisadas reúnem 3,630,519 habitantes. Isso dá uma ideia do grande número de pessoas que vivem nessas áreas nos municípios apresentados.</t>
  </si>
  <si>
    <t>PERGUNTA 2:</t>
  </si>
  <si>
    <t>QUAL MUNICÍPIO APRESENTA A MAIOR POPULAÇÃO EM FAVELAS?</t>
  </si>
  <si>
    <t>Município</t>
  </si>
  <si>
    <t>São Paulo (SP)</t>
  </si>
  <si>
    <t>São Paulo (SP) aparece com a maior população, com 1,728,265 habitantes. O valor é bem superior ao dos demais municípios da tabela, mostrando a concentração de população em favelas na maior cidade do país.</t>
  </si>
  <si>
    <t>PERGUNTA 3:</t>
  </si>
  <si>
    <t>QUAL MUNICÍPIO POSSUI A MAIOR DENSIDADE DE HABITANTES POR HECTARE?</t>
  </si>
  <si>
    <t>Diadema (SP)</t>
  </si>
  <si>
    <t>Diadema (SP) apresenta a maior densidade da tabela, com aproximadamente 403.9 habitantes por hectare. Isso significa que existe uma concentração maior de moradores em relação ao tamanho da área ocupada.</t>
  </si>
  <si>
    <t>PERGUNTA 4:</t>
  </si>
  <si>
    <t>QUANTOS DOMICÍLIOS EXISTEM NO TOTAL E QUAL É A MÉDIA DE DOMICÍLIOS POR MUNICÍPIO?</t>
  </si>
  <si>
    <t>Média por município</t>
  </si>
  <si>
    <t>Somando os dados, são 1,361,219 domicílios. A média é de aproximadamente 14,796 domicílios por município. Esses números ajudam a perceber que o fenômeno não envolve somente a população, mas também uma grande quantidade de moradias.</t>
  </si>
  <si>
    <t>PERGUNTA 5:</t>
  </si>
  <si>
    <t>QUAL É A PARTICIPAÇÃO DA POPULAÇÃO DE SÃO PAULO EM RELAÇÃO AO TOTAL DA TABELA?</t>
  </si>
  <si>
    <t>População de São Paulo</t>
  </si>
  <si>
    <t>Participação (%)</t>
  </si>
  <si>
    <t>São Paulo concentra aproximadamente 47.6% da população registrada na tabela. Ou seja, de cada 100 habitantes considerados nos dados, cerca de 48 estão em áreas de favelas e comunidades urbanas do município de São Paulo.</t>
  </si>
  <si>
    <t>cod_ibge</t>
  </si>
  <si>
    <t>municipio</t>
  </si>
  <si>
    <t>num_FC</t>
  </si>
  <si>
    <t>km2</t>
  </si>
  <si>
    <t>hectare</t>
  </si>
  <si>
    <t>hab/ha</t>
  </si>
  <si>
    <t>p_total</t>
  </si>
  <si>
    <t>p_branca</t>
  </si>
  <si>
    <t>p_preta</t>
  </si>
  <si>
    <t>p_amarela</t>
  </si>
  <si>
    <t>p_parda</t>
  </si>
  <si>
    <t>p_indig</t>
  </si>
  <si>
    <t>p_semd</t>
  </si>
  <si>
    <t>d_total</t>
  </si>
  <si>
    <t>DP</t>
  </si>
  <si>
    <t>DPPO</t>
  </si>
  <si>
    <t>DPPNOV</t>
  </si>
  <si>
    <t>DPPNOUO</t>
  </si>
  <si>
    <t>DPI</t>
  </si>
  <si>
    <t>DC</t>
  </si>
  <si>
    <t>Guarulhos (SP)</t>
  </si>
  <si>
    <t>São Bernardo do Campo (SP)</t>
  </si>
  <si>
    <t>Campinas (SP)</t>
  </si>
  <si>
    <t>Mauá (SP)</t>
  </si>
  <si>
    <t>Guarujá (SP)</t>
  </si>
  <si>
    <t>Santo André (SP)</t>
  </si>
  <si>
    <t>Osasco (SP)</t>
  </si>
  <si>
    <t>Itaquaquecetuba (SP)</t>
  </si>
  <si>
    <t>São Vicente (SP)</t>
  </si>
  <si>
    <t>Carapicuíba (SP)</t>
  </si>
  <si>
    <t>Embu das Artes (SP)</t>
  </si>
  <si>
    <t>Santos (SP)</t>
  </si>
  <si>
    <t>Taboão da Serra (SP)</t>
  </si>
  <si>
    <t>Cubatão (SP)</t>
  </si>
  <si>
    <t>Ferraz de Vasconcelos (SP)</t>
  </si>
  <si>
    <t>São Sebastião (SP)</t>
  </si>
  <si>
    <t>Ribeirão Preto (SP)</t>
  </si>
  <si>
    <t>Francisco Morato (SP)</t>
  </si>
  <si>
    <t>Praia Grande (SP)</t>
  </si>
  <si>
    <t>Suzano (SP)</t>
  </si>
  <si>
    <t>Jundiaí (SP)</t>
  </si>
  <si>
    <t>Mogi das Cruzes (SP)</t>
  </si>
  <si>
    <t>Bertioga (SP)</t>
  </si>
  <si>
    <t>Ubatuba (SP)</t>
  </si>
  <si>
    <t>Várzea Paulista (SP)</t>
  </si>
  <si>
    <t>Franco da Rocha (SP)</t>
  </si>
  <si>
    <t>Itapecerica da Serra (SP)</t>
  </si>
  <si>
    <t>Itapevi (SP)</t>
  </si>
  <si>
    <t>Sorocaba (SP)</t>
  </si>
  <si>
    <t>Sumaré (SP)</t>
  </si>
  <si>
    <t>Cotia (SP)</t>
  </si>
  <si>
    <t>Cajamar (SP)</t>
  </si>
  <si>
    <t>Piracicaba (SP)</t>
  </si>
  <si>
    <t>Campos do Jordão (SP)</t>
  </si>
  <si>
    <t>Barueri (SP)</t>
  </si>
  <si>
    <t>Caieiras (SP)</t>
  </si>
  <si>
    <t>Ilhabela (SP)</t>
  </si>
  <si>
    <t>São José dos Campos (SP)</t>
  </si>
  <si>
    <t>Jacareí (SP)</t>
  </si>
  <si>
    <t>Bauru (SP)</t>
  </si>
  <si>
    <t>Caraguatatuba (SP)</t>
  </si>
  <si>
    <t>Atibaia (SP)</t>
  </si>
  <si>
    <t>Rio Grande da Serra (SP)</t>
  </si>
  <si>
    <t>Jandira (SP)</t>
  </si>
  <si>
    <t>Votorantim (SP)</t>
  </si>
  <si>
    <t>Ribeirão Pires (SP)</t>
  </si>
  <si>
    <t>Hortolândia (SP)</t>
  </si>
  <si>
    <t>Santana de Parnaíba (SP)</t>
  </si>
  <si>
    <t>Mairiporã (SP)</t>
  </si>
  <si>
    <t>Campo Limpo Paulista (SP)</t>
  </si>
  <si>
    <t>Itu (SP)</t>
  </si>
  <si>
    <t>Marília (SP)</t>
  </si>
  <si>
    <t>Pirapora do Bom Jesus (SP)</t>
  </si>
  <si>
    <t>Tremembé (SP)</t>
  </si>
  <si>
    <t>São Roque (SP)</t>
  </si>
  <si>
    <t>Biritiba Mirim (SP)</t>
  </si>
  <si>
    <t>Poá (SP)</t>
  </si>
  <si>
    <t>Cosmópolis (SP)</t>
  </si>
  <si>
    <t>São Pedro (SP)</t>
  </si>
  <si>
    <t>Arujá (SP)</t>
  </si>
  <si>
    <t>Ibiúna (SP)</t>
  </si>
  <si>
    <t>Porto Ferreira (SP)</t>
  </si>
  <si>
    <t>Cruzeiro (SP)</t>
  </si>
  <si>
    <t>Lorena (SP)</t>
  </si>
  <si>
    <t>Guaratinguetá (SP)</t>
  </si>
  <si>
    <t>Santa Cruz do Rio Pardo (SP)</t>
  </si>
  <si>
    <t>Cabreúva (SP)</t>
  </si>
  <si>
    <t>Embu-Guaçu (SP)</t>
  </si>
  <si>
    <t>Bananal (SP)</t>
  </si>
  <si>
    <t>São Carlos (SP)</t>
  </si>
  <si>
    <t>Capivari (SP)</t>
  </si>
  <si>
    <t>Itirapina (SP)</t>
  </si>
  <si>
    <t>Botucatu (SP)</t>
  </si>
  <si>
    <t>Mairinque (SP)</t>
  </si>
  <si>
    <t>Itanhaém (SP)</t>
  </si>
  <si>
    <t>Rio Claro (SP)</t>
  </si>
  <si>
    <t>Americana (SP)</t>
  </si>
  <si>
    <t>Cordeirópolis (SP)</t>
  </si>
  <si>
    <t>Amparo (SP)</t>
  </si>
  <si>
    <t>Caçapava (SP)</t>
  </si>
  <si>
    <t>Salto (SP)</t>
  </si>
  <si>
    <t>Peruíbe (SP)</t>
  </si>
  <si>
    <t>Ibirarema (SP)</t>
  </si>
  <si>
    <t>Louveira (SP)</t>
  </si>
  <si>
    <t>Bragança Paulista (SP)</t>
  </si>
  <si>
    <t>Avaré (SP)</t>
  </si>
  <si>
    <t>Pederneiras (SP)</t>
  </si>
  <si>
    <t>Tabatinga (SP)</t>
  </si>
  <si>
    <t>Pindamonhangaba (SP)</t>
  </si>
  <si>
    <t>Presidente Epitácio (SP)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</si>
</sst>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1" fillId="2" borderId="1" xfId="0" applyFont="1" applyFill="1" applyBorder="1"/>
    <xf numFmtId="0" fontId="0" fillId="0" borderId="2" xfId="0" applyBorder="1"/>
    <xf numFmtId="10" fontId="0" fillId="0" borderId="2" xfId="0" applyNumberFormat="1" applyBorder="1"/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3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"/>
  <sheetViews>
    <sheetView topLeftCell="F1" workbookViewId="0">
      <pane ySplit="1" topLeftCell="F2" activePane="bottomLeft" state="frozen"/>
      <selection activeCell="F1" sqref="F1"/>
      <selection pane="bottomLeft" activeCell="T10" sqref="T10"/>
    </sheetView>
  </sheetViews>
  <sheetFormatPr defaultRowHeight="15" x14ac:dyDescent="0.2"/>
  <cols>
    <col min="1" max="2" width="11.97265625" style="2" bestFit="1" customWidth="1"/>
    <col min="3" max="3" width="11.97265625" style="1" bestFit="1" customWidth="1"/>
    <col min="4" max="12" width="11.97265625" style="2" bestFit="1" customWidth="1"/>
    <col min="13" max="20" width="11.97265625" style="2" customWidth="1"/>
  </cols>
  <sheetData>
    <row r="1" spans="1:20" x14ac:dyDescent="0.2">
      <c r="A1" s="4" t="s">
        <v>31</v>
      </c>
      <c r="B1" s="4" t="s">
        <v>32</v>
      </c>
      <c r="C1" s="5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</row>
    <row r="2" spans="1:20" x14ac:dyDescent="0.2">
      <c r="A2">
        <v>3550308</v>
      </c>
      <c r="B2" t="s">
        <v>16</v>
      </c>
      <c r="C2" s="1">
        <v>1359</v>
      </c>
      <c r="D2">
        <v>63.624000000000002</v>
      </c>
      <c r="E2">
        <v>6362.4</v>
      </c>
      <c r="F2">
        <v>271.60000000000002</v>
      </c>
      <c r="G2">
        <v>1728265</v>
      </c>
      <c r="H2">
        <v>577027</v>
      </c>
      <c r="I2">
        <v>247842</v>
      </c>
      <c r="J2">
        <v>1464</v>
      </c>
      <c r="K2">
        <v>899623</v>
      </c>
      <c r="L2" s="3">
        <v>2161</v>
      </c>
      <c r="M2">
        <v>148</v>
      </c>
      <c r="N2">
        <v>653891</v>
      </c>
      <c r="O2">
        <v>653859</v>
      </c>
      <c r="P2">
        <v>587061</v>
      </c>
      <c r="Q2">
        <v>56709</v>
      </c>
      <c r="R2">
        <v>6008</v>
      </c>
      <c r="S2">
        <v>4081</v>
      </c>
      <c r="T2">
        <v>32</v>
      </c>
    </row>
    <row r="3" spans="1:20" x14ac:dyDescent="0.2">
      <c r="A3">
        <v>3518800</v>
      </c>
      <c r="B3" t="s">
        <v>51</v>
      </c>
      <c r="C3" s="1">
        <v>170</v>
      </c>
      <c r="D3">
        <v>11.244999999999999</v>
      </c>
      <c r="E3">
        <v>1124.5</v>
      </c>
      <c r="F3">
        <v>192.1</v>
      </c>
      <c r="G3">
        <v>215969</v>
      </c>
      <c r="H3">
        <v>71565</v>
      </c>
      <c r="I3">
        <v>27286</v>
      </c>
      <c r="J3">
        <v>322</v>
      </c>
      <c r="K3">
        <v>116522</v>
      </c>
      <c r="L3">
        <v>265</v>
      </c>
      <c r="M3">
        <v>9</v>
      </c>
      <c r="N3">
        <v>76471</v>
      </c>
      <c r="O3">
        <v>76467</v>
      </c>
      <c r="P3">
        <v>69853</v>
      </c>
      <c r="Q3">
        <v>5514</v>
      </c>
      <c r="R3">
        <v>924</v>
      </c>
      <c r="S3">
        <v>176</v>
      </c>
      <c r="T3">
        <v>4</v>
      </c>
    </row>
    <row r="4" spans="1:20" x14ac:dyDescent="0.2">
      <c r="A4">
        <v>3548708</v>
      </c>
      <c r="B4" t="s">
        <v>52</v>
      </c>
      <c r="C4" s="1">
        <v>94</v>
      </c>
      <c r="D4">
        <v>5.2930000000000001</v>
      </c>
      <c r="E4">
        <v>529.29999999999995</v>
      </c>
      <c r="F4">
        <v>299</v>
      </c>
      <c r="G4">
        <v>158274</v>
      </c>
      <c r="H4">
        <v>61810</v>
      </c>
      <c r="I4">
        <v>17151</v>
      </c>
      <c r="J4">
        <v>159</v>
      </c>
      <c r="K4">
        <v>78933</v>
      </c>
      <c r="L4">
        <v>219</v>
      </c>
      <c r="M4">
        <v>2</v>
      </c>
      <c r="N4">
        <v>59234</v>
      </c>
      <c r="O4">
        <v>59231</v>
      </c>
      <c r="P4">
        <v>55240</v>
      </c>
      <c r="Q4">
        <v>3604</v>
      </c>
      <c r="R4">
        <v>366</v>
      </c>
      <c r="S4">
        <v>21</v>
      </c>
      <c r="T4">
        <v>3</v>
      </c>
    </row>
    <row r="5" spans="1:20" x14ac:dyDescent="0.2">
      <c r="A5">
        <v>3509502</v>
      </c>
      <c r="B5" t="s">
        <v>53</v>
      </c>
      <c r="C5" s="1">
        <v>118</v>
      </c>
      <c r="D5">
        <v>14.019</v>
      </c>
      <c r="E5">
        <v>1401.9</v>
      </c>
      <c r="F5">
        <v>100.4</v>
      </c>
      <c r="G5">
        <v>140784</v>
      </c>
      <c r="H5">
        <v>46576</v>
      </c>
      <c r="I5">
        <v>18788</v>
      </c>
      <c r="J5">
        <v>132</v>
      </c>
      <c r="K5">
        <v>75059</v>
      </c>
      <c r="L5">
        <v>229</v>
      </c>
      <c r="M5"/>
      <c r="N5">
        <v>49646</v>
      </c>
      <c r="O5">
        <v>49635</v>
      </c>
      <c r="P5">
        <v>45629</v>
      </c>
      <c r="Q5">
        <v>3205</v>
      </c>
      <c r="R5">
        <v>694</v>
      </c>
      <c r="S5">
        <v>107</v>
      </c>
      <c r="T5">
        <v>11</v>
      </c>
    </row>
    <row r="6" spans="1:20" x14ac:dyDescent="0.2">
      <c r="A6">
        <v>3529401</v>
      </c>
      <c r="B6" t="s">
        <v>54</v>
      </c>
      <c r="C6" s="1">
        <v>60</v>
      </c>
      <c r="D6">
        <v>5.8680000000000003</v>
      </c>
      <c r="E6">
        <v>586.79999999999995</v>
      </c>
      <c r="F6">
        <v>196.4</v>
      </c>
      <c r="G6">
        <v>115251</v>
      </c>
      <c r="H6">
        <v>43495</v>
      </c>
      <c r="I6">
        <v>13103</v>
      </c>
      <c r="J6">
        <v>95</v>
      </c>
      <c r="K6">
        <v>58441</v>
      </c>
      <c r="L6">
        <v>116</v>
      </c>
      <c r="M6">
        <v>1</v>
      </c>
      <c r="N6">
        <v>44161</v>
      </c>
      <c r="O6">
        <v>44160</v>
      </c>
      <c r="P6">
        <v>40127</v>
      </c>
      <c r="Q6">
        <v>3749</v>
      </c>
      <c r="R6">
        <v>226</v>
      </c>
      <c r="S6">
        <v>58</v>
      </c>
      <c r="T6">
        <v>1</v>
      </c>
    </row>
    <row r="7" spans="1:20" x14ac:dyDescent="0.2">
      <c r="A7">
        <v>3518701</v>
      </c>
      <c r="B7" t="s">
        <v>55</v>
      </c>
      <c r="C7" s="1">
        <v>55</v>
      </c>
      <c r="D7">
        <v>6.14</v>
      </c>
      <c r="E7">
        <v>614</v>
      </c>
      <c r="F7">
        <v>172.7</v>
      </c>
      <c r="G7">
        <v>106010</v>
      </c>
      <c r="H7">
        <v>33936</v>
      </c>
      <c r="I7">
        <v>12036</v>
      </c>
      <c r="J7">
        <v>130</v>
      </c>
      <c r="K7">
        <v>59709</v>
      </c>
      <c r="L7">
        <v>194</v>
      </c>
      <c r="M7">
        <v>5</v>
      </c>
      <c r="N7">
        <v>39413</v>
      </c>
      <c r="O7">
        <v>39403</v>
      </c>
      <c r="P7">
        <v>34443</v>
      </c>
      <c r="Q7">
        <v>3508</v>
      </c>
      <c r="R7">
        <v>1349</v>
      </c>
      <c r="S7">
        <v>103</v>
      </c>
      <c r="T7">
        <v>10</v>
      </c>
    </row>
    <row r="8" spans="1:20" x14ac:dyDescent="0.2">
      <c r="A8">
        <v>3547809</v>
      </c>
      <c r="B8" t="s">
        <v>56</v>
      </c>
      <c r="C8" s="1">
        <v>76</v>
      </c>
      <c r="D8">
        <v>3.403</v>
      </c>
      <c r="E8">
        <v>340.3</v>
      </c>
      <c r="F8">
        <v>291.5</v>
      </c>
      <c r="G8">
        <v>99187</v>
      </c>
      <c r="H8">
        <v>37421</v>
      </c>
      <c r="I8">
        <v>11904</v>
      </c>
      <c r="J8">
        <v>66</v>
      </c>
      <c r="K8">
        <v>49678</v>
      </c>
      <c r="L8">
        <v>104</v>
      </c>
      <c r="M8">
        <v>14</v>
      </c>
      <c r="N8">
        <v>37433</v>
      </c>
      <c r="O8">
        <v>37431</v>
      </c>
      <c r="P8">
        <v>33905</v>
      </c>
      <c r="Q8">
        <v>3000</v>
      </c>
      <c r="R8">
        <v>479</v>
      </c>
      <c r="S8">
        <v>47</v>
      </c>
      <c r="T8">
        <v>2</v>
      </c>
    </row>
    <row r="9" spans="1:20" x14ac:dyDescent="0.2">
      <c r="A9">
        <v>3534401</v>
      </c>
      <c r="B9" t="s">
        <v>57</v>
      </c>
      <c r="C9" s="1">
        <v>84</v>
      </c>
      <c r="D9">
        <v>2.919</v>
      </c>
      <c r="E9">
        <v>291.89999999999998</v>
      </c>
      <c r="F9">
        <v>336.4</v>
      </c>
      <c r="G9">
        <v>98207</v>
      </c>
      <c r="H9">
        <v>33794</v>
      </c>
      <c r="I9">
        <v>11901</v>
      </c>
      <c r="J9">
        <v>61</v>
      </c>
      <c r="K9">
        <v>52351</v>
      </c>
      <c r="L9">
        <v>90</v>
      </c>
      <c r="M9">
        <v>10</v>
      </c>
      <c r="N9">
        <v>33927</v>
      </c>
      <c r="O9">
        <v>33923</v>
      </c>
      <c r="P9">
        <v>31491</v>
      </c>
      <c r="Q9">
        <v>1623</v>
      </c>
      <c r="R9">
        <v>241</v>
      </c>
      <c r="S9">
        <v>568</v>
      </c>
      <c r="T9">
        <v>4</v>
      </c>
    </row>
    <row r="10" spans="1:20" x14ac:dyDescent="0.2">
      <c r="A10">
        <v>3523107</v>
      </c>
      <c r="B10" t="s">
        <v>58</v>
      </c>
      <c r="C10" s="1">
        <v>69</v>
      </c>
      <c r="D10">
        <v>7.0940000000000003</v>
      </c>
      <c r="E10">
        <v>709.4</v>
      </c>
      <c r="F10">
        <v>128.69999999999999</v>
      </c>
      <c r="G10">
        <v>91317</v>
      </c>
      <c r="H10">
        <v>31211</v>
      </c>
      <c r="I10">
        <v>10239</v>
      </c>
      <c r="J10">
        <v>115</v>
      </c>
      <c r="K10">
        <v>49587</v>
      </c>
      <c r="L10">
        <v>165</v>
      </c>
      <c r="M10"/>
      <c r="N10">
        <v>32846</v>
      </c>
      <c r="O10">
        <v>32845</v>
      </c>
      <c r="P10">
        <v>29208</v>
      </c>
      <c r="Q10">
        <v>3152</v>
      </c>
      <c r="R10">
        <v>464</v>
      </c>
      <c r="S10">
        <v>21</v>
      </c>
      <c r="T10">
        <v>1</v>
      </c>
    </row>
    <row r="11" spans="1:20" x14ac:dyDescent="0.2">
      <c r="A11">
        <v>3513801</v>
      </c>
      <c r="B11" t="s">
        <v>20</v>
      </c>
      <c r="C11" s="1">
        <v>109</v>
      </c>
      <c r="D11">
        <v>2.1760000000000002</v>
      </c>
      <c r="E11">
        <v>217.6</v>
      </c>
      <c r="F11">
        <v>403.9</v>
      </c>
      <c r="G11">
        <v>87887</v>
      </c>
      <c r="H11">
        <v>33814</v>
      </c>
      <c r="I11">
        <v>9612</v>
      </c>
      <c r="J11">
        <v>85</v>
      </c>
      <c r="K11">
        <v>44331</v>
      </c>
      <c r="L11">
        <v>43</v>
      </c>
      <c r="M11">
        <v>2</v>
      </c>
      <c r="N11">
        <v>33125</v>
      </c>
      <c r="O11">
        <v>33124</v>
      </c>
      <c r="P11">
        <v>30912</v>
      </c>
      <c r="Q11">
        <v>2051</v>
      </c>
      <c r="R11">
        <v>154</v>
      </c>
      <c r="S11">
        <v>7</v>
      </c>
      <c r="T11">
        <v>1</v>
      </c>
    </row>
    <row r="12" spans="1:20" x14ac:dyDescent="0.2">
      <c r="A12">
        <v>3551009</v>
      </c>
      <c r="B12" t="s">
        <v>59</v>
      </c>
      <c r="C12" s="1">
        <v>38</v>
      </c>
      <c r="D12">
        <v>6.5789999999999997</v>
      </c>
      <c r="E12">
        <v>657.9</v>
      </c>
      <c r="F12">
        <v>130.19999999999999</v>
      </c>
      <c r="G12">
        <v>85652</v>
      </c>
      <c r="H12">
        <v>28535</v>
      </c>
      <c r="I12">
        <v>11987</v>
      </c>
      <c r="J12">
        <v>70</v>
      </c>
      <c r="K12">
        <v>44966</v>
      </c>
      <c r="L12">
        <v>91</v>
      </c>
      <c r="M12">
        <v>3</v>
      </c>
      <c r="N12">
        <v>32562</v>
      </c>
      <c r="O12">
        <v>32558</v>
      </c>
      <c r="P12">
        <v>28888</v>
      </c>
      <c r="Q12">
        <v>3408</v>
      </c>
      <c r="R12">
        <v>162</v>
      </c>
      <c r="S12">
        <v>100</v>
      </c>
      <c r="T12">
        <v>4</v>
      </c>
    </row>
    <row r="13" spans="1:20" x14ac:dyDescent="0.2">
      <c r="A13">
        <v>3510609</v>
      </c>
      <c r="B13" t="s">
        <v>60</v>
      </c>
      <c r="C13" s="1">
        <v>66</v>
      </c>
      <c r="D13">
        <v>2.0219999999999998</v>
      </c>
      <c r="E13">
        <v>202.2</v>
      </c>
      <c r="F13">
        <v>299.5</v>
      </c>
      <c r="G13">
        <v>60562</v>
      </c>
      <c r="H13">
        <v>21069</v>
      </c>
      <c r="I13">
        <v>7881</v>
      </c>
      <c r="J13">
        <v>47</v>
      </c>
      <c r="K13">
        <v>31494</v>
      </c>
      <c r="L13">
        <v>61</v>
      </c>
      <c r="M13">
        <v>10</v>
      </c>
      <c r="N13">
        <v>21692</v>
      </c>
      <c r="O13">
        <v>21692</v>
      </c>
      <c r="P13">
        <v>20409</v>
      </c>
      <c r="Q13">
        <v>1165</v>
      </c>
      <c r="R13">
        <v>103</v>
      </c>
      <c r="S13">
        <v>15</v>
      </c>
      <c r="T13"/>
    </row>
    <row r="14" spans="1:20" x14ac:dyDescent="0.2">
      <c r="A14">
        <v>3515004</v>
      </c>
      <c r="B14" t="s">
        <v>61</v>
      </c>
      <c r="C14" s="1">
        <v>59</v>
      </c>
      <c r="D14">
        <v>4.5810000000000004</v>
      </c>
      <c r="E14">
        <v>458.1</v>
      </c>
      <c r="F14">
        <v>116.3</v>
      </c>
      <c r="G14">
        <v>53297</v>
      </c>
      <c r="H14">
        <v>16373</v>
      </c>
      <c r="I14">
        <v>8063</v>
      </c>
      <c r="J14">
        <v>49</v>
      </c>
      <c r="K14">
        <v>28755</v>
      </c>
      <c r="L14">
        <v>50</v>
      </c>
      <c r="M14">
        <v>7</v>
      </c>
      <c r="N14">
        <v>21312</v>
      </c>
      <c r="O14">
        <v>21312</v>
      </c>
      <c r="P14">
        <v>18218</v>
      </c>
      <c r="Q14">
        <v>2105</v>
      </c>
      <c r="R14">
        <v>923</v>
      </c>
      <c r="S14">
        <v>66</v>
      </c>
      <c r="T14"/>
    </row>
    <row r="15" spans="1:20" x14ac:dyDescent="0.2">
      <c r="A15">
        <v>3548500</v>
      </c>
      <c r="B15" t="s">
        <v>62</v>
      </c>
      <c r="C15" s="1">
        <v>46</v>
      </c>
      <c r="D15">
        <v>5.1289999999999996</v>
      </c>
      <c r="E15">
        <v>512.9</v>
      </c>
      <c r="F15">
        <v>90.2</v>
      </c>
      <c r="G15">
        <v>46262</v>
      </c>
      <c r="H15">
        <v>18279</v>
      </c>
      <c r="I15">
        <v>5887</v>
      </c>
      <c r="J15">
        <v>64</v>
      </c>
      <c r="K15">
        <v>21990</v>
      </c>
      <c r="L15">
        <v>41</v>
      </c>
      <c r="M15">
        <v>1</v>
      </c>
      <c r="N15">
        <v>19257</v>
      </c>
      <c r="O15">
        <v>19249</v>
      </c>
      <c r="P15">
        <v>16841</v>
      </c>
      <c r="Q15">
        <v>2006</v>
      </c>
      <c r="R15">
        <v>396</v>
      </c>
      <c r="S15">
        <v>6</v>
      </c>
      <c r="T15">
        <v>8</v>
      </c>
    </row>
    <row r="16" spans="1:20" x14ac:dyDescent="0.2">
      <c r="A16">
        <v>3552809</v>
      </c>
      <c r="B16" t="s">
        <v>63</v>
      </c>
      <c r="C16" s="1">
        <v>29</v>
      </c>
      <c r="D16">
        <v>1.38</v>
      </c>
      <c r="E16">
        <v>138</v>
      </c>
      <c r="F16">
        <v>304.60000000000002</v>
      </c>
      <c r="G16">
        <v>42031</v>
      </c>
      <c r="H16">
        <v>14457</v>
      </c>
      <c r="I16">
        <v>5980</v>
      </c>
      <c r="J16">
        <v>62</v>
      </c>
      <c r="K16">
        <v>21487</v>
      </c>
      <c r="L16">
        <v>45</v>
      </c>
      <c r="M16"/>
      <c r="N16">
        <v>16009</v>
      </c>
      <c r="O16">
        <v>16009</v>
      </c>
      <c r="P16">
        <v>14586</v>
      </c>
      <c r="Q16">
        <v>1264</v>
      </c>
      <c r="R16">
        <v>152</v>
      </c>
      <c r="S16">
        <v>7</v>
      </c>
      <c r="T16"/>
    </row>
    <row r="17" spans="1:20" x14ac:dyDescent="0.2">
      <c r="A17">
        <v>3513504</v>
      </c>
      <c r="B17" t="s">
        <v>64</v>
      </c>
      <c r="C17" s="1">
        <v>12</v>
      </c>
      <c r="D17">
        <v>3.0739999999999998</v>
      </c>
      <c r="E17">
        <v>307.39999999999998</v>
      </c>
      <c r="F17">
        <v>119.5</v>
      </c>
      <c r="G17">
        <v>36724</v>
      </c>
      <c r="H17">
        <v>11592</v>
      </c>
      <c r="I17">
        <v>4587</v>
      </c>
      <c r="J17">
        <v>8</v>
      </c>
      <c r="K17">
        <v>20503</v>
      </c>
      <c r="L17">
        <v>34</v>
      </c>
      <c r="M17"/>
      <c r="N17">
        <v>15221</v>
      </c>
      <c r="O17">
        <v>15218</v>
      </c>
      <c r="P17">
        <v>12921</v>
      </c>
      <c r="Q17">
        <v>2020</v>
      </c>
      <c r="R17">
        <v>274</v>
      </c>
      <c r="S17">
        <v>3</v>
      </c>
      <c r="T17">
        <v>3</v>
      </c>
    </row>
    <row r="18" spans="1:20" x14ac:dyDescent="0.2">
      <c r="A18">
        <v>3515707</v>
      </c>
      <c r="B18" t="s">
        <v>65</v>
      </c>
      <c r="C18" s="1">
        <v>38</v>
      </c>
      <c r="D18">
        <v>2.4209999999999998</v>
      </c>
      <c r="E18">
        <v>242.1</v>
      </c>
      <c r="F18">
        <v>126.5</v>
      </c>
      <c r="G18">
        <v>30629</v>
      </c>
      <c r="H18">
        <v>10510</v>
      </c>
      <c r="I18">
        <v>4141</v>
      </c>
      <c r="J18">
        <v>18</v>
      </c>
      <c r="K18">
        <v>15914</v>
      </c>
      <c r="L18">
        <v>45</v>
      </c>
      <c r="M18">
        <v>1</v>
      </c>
      <c r="N18">
        <v>11265</v>
      </c>
      <c r="O18">
        <v>11263</v>
      </c>
      <c r="P18">
        <v>9872</v>
      </c>
      <c r="Q18">
        <v>1137</v>
      </c>
      <c r="R18">
        <v>142</v>
      </c>
      <c r="S18">
        <v>112</v>
      </c>
      <c r="T18">
        <v>2</v>
      </c>
    </row>
    <row r="19" spans="1:20" x14ac:dyDescent="0.2">
      <c r="A19">
        <v>3550704</v>
      </c>
      <c r="B19" t="s">
        <v>66</v>
      </c>
      <c r="C19" s="1">
        <v>23</v>
      </c>
      <c r="D19">
        <v>3.8570000000000002</v>
      </c>
      <c r="E19">
        <v>385.7</v>
      </c>
      <c r="F19">
        <v>63.8</v>
      </c>
      <c r="G19">
        <v>24619</v>
      </c>
      <c r="H19">
        <v>8245</v>
      </c>
      <c r="I19">
        <v>3030</v>
      </c>
      <c r="J19">
        <v>36</v>
      </c>
      <c r="K19">
        <v>13270</v>
      </c>
      <c r="L19">
        <v>37</v>
      </c>
      <c r="M19">
        <v>1</v>
      </c>
      <c r="N19">
        <v>10045</v>
      </c>
      <c r="O19">
        <v>10041</v>
      </c>
      <c r="P19">
        <v>8293</v>
      </c>
      <c r="Q19">
        <v>1005</v>
      </c>
      <c r="R19">
        <v>734</v>
      </c>
      <c r="S19">
        <v>9</v>
      </c>
      <c r="T19">
        <v>4</v>
      </c>
    </row>
    <row r="20" spans="1:20" x14ac:dyDescent="0.2">
      <c r="A20">
        <v>3543402</v>
      </c>
      <c r="B20" t="s">
        <v>67</v>
      </c>
      <c r="C20" s="1">
        <v>47</v>
      </c>
      <c r="D20">
        <v>1.7949999999999999</v>
      </c>
      <c r="E20">
        <v>179.5</v>
      </c>
      <c r="F20">
        <v>132.5</v>
      </c>
      <c r="G20">
        <v>23781</v>
      </c>
      <c r="H20">
        <v>6735</v>
      </c>
      <c r="I20">
        <v>3289</v>
      </c>
      <c r="J20">
        <v>10</v>
      </c>
      <c r="K20">
        <v>13719</v>
      </c>
      <c r="L20">
        <v>26</v>
      </c>
      <c r="M20">
        <v>2</v>
      </c>
      <c r="N20">
        <v>8806</v>
      </c>
      <c r="O20">
        <v>8806</v>
      </c>
      <c r="P20">
        <v>7728</v>
      </c>
      <c r="Q20">
        <v>782</v>
      </c>
      <c r="R20">
        <v>115</v>
      </c>
      <c r="S20">
        <v>181</v>
      </c>
      <c r="T20"/>
    </row>
    <row r="21" spans="1:20" x14ac:dyDescent="0.2">
      <c r="A21">
        <v>3516309</v>
      </c>
      <c r="B21" t="s">
        <v>68</v>
      </c>
      <c r="C21" s="1">
        <v>36</v>
      </c>
      <c r="D21">
        <v>2.4969999999999999</v>
      </c>
      <c r="E21">
        <v>249.7</v>
      </c>
      <c r="F21">
        <v>90.7</v>
      </c>
      <c r="G21">
        <v>22646</v>
      </c>
      <c r="H21">
        <v>7521</v>
      </c>
      <c r="I21">
        <v>3482</v>
      </c>
      <c r="J21">
        <v>14</v>
      </c>
      <c r="K21">
        <v>11602</v>
      </c>
      <c r="L21">
        <v>27</v>
      </c>
      <c r="M21"/>
      <c r="N21">
        <v>8363</v>
      </c>
      <c r="O21">
        <v>8363</v>
      </c>
      <c r="P21">
        <v>7682</v>
      </c>
      <c r="Q21">
        <v>630</v>
      </c>
      <c r="R21">
        <v>50</v>
      </c>
      <c r="S21">
        <v>1</v>
      </c>
      <c r="T21"/>
    </row>
    <row r="22" spans="1:20" x14ac:dyDescent="0.2">
      <c r="A22">
        <v>3541000</v>
      </c>
      <c r="B22" t="s">
        <v>69</v>
      </c>
      <c r="C22" s="1">
        <v>12</v>
      </c>
      <c r="D22">
        <v>2.125</v>
      </c>
      <c r="E22">
        <v>212.5</v>
      </c>
      <c r="F22">
        <v>100.3</v>
      </c>
      <c r="G22">
        <v>21315</v>
      </c>
      <c r="H22">
        <v>7362</v>
      </c>
      <c r="I22">
        <v>2629</v>
      </c>
      <c r="J22">
        <v>23</v>
      </c>
      <c r="K22">
        <v>11290</v>
      </c>
      <c r="L22">
        <v>10</v>
      </c>
      <c r="M22">
        <v>1</v>
      </c>
      <c r="N22">
        <v>8214</v>
      </c>
      <c r="O22">
        <v>8212</v>
      </c>
      <c r="P22">
        <v>6962</v>
      </c>
      <c r="Q22">
        <v>1074</v>
      </c>
      <c r="R22">
        <v>157</v>
      </c>
      <c r="S22">
        <v>19</v>
      </c>
      <c r="T22">
        <v>2</v>
      </c>
    </row>
    <row r="23" spans="1:20" x14ac:dyDescent="0.2">
      <c r="A23">
        <v>3552502</v>
      </c>
      <c r="B23" t="s">
        <v>70</v>
      </c>
      <c r="C23" s="1">
        <v>21</v>
      </c>
      <c r="D23">
        <v>1.85</v>
      </c>
      <c r="E23">
        <v>185</v>
      </c>
      <c r="F23">
        <v>114.2</v>
      </c>
      <c r="G23">
        <v>21126</v>
      </c>
      <c r="H23">
        <v>7131</v>
      </c>
      <c r="I23">
        <v>2600</v>
      </c>
      <c r="J23">
        <v>41</v>
      </c>
      <c r="K23">
        <v>11322</v>
      </c>
      <c r="L23">
        <v>31</v>
      </c>
      <c r="M23">
        <v>1</v>
      </c>
      <c r="N23">
        <v>7586</v>
      </c>
      <c r="O23">
        <v>7584</v>
      </c>
      <c r="P23">
        <v>6754</v>
      </c>
      <c r="Q23">
        <v>696</v>
      </c>
      <c r="R23">
        <v>122</v>
      </c>
      <c r="S23">
        <v>12</v>
      </c>
      <c r="T23">
        <v>2</v>
      </c>
    </row>
    <row r="24" spans="1:20" x14ac:dyDescent="0.2">
      <c r="A24">
        <v>3525904</v>
      </c>
      <c r="B24" t="s">
        <v>71</v>
      </c>
      <c r="C24" s="1">
        <v>9</v>
      </c>
      <c r="D24">
        <v>0.86699999999999999</v>
      </c>
      <c r="E24">
        <v>86.7</v>
      </c>
      <c r="F24">
        <v>207.6</v>
      </c>
      <c r="G24">
        <v>17999</v>
      </c>
      <c r="H24">
        <v>7374</v>
      </c>
      <c r="I24">
        <v>1687</v>
      </c>
      <c r="J24">
        <v>37</v>
      </c>
      <c r="K24">
        <v>8878</v>
      </c>
      <c r="L24">
        <v>23</v>
      </c>
      <c r="M24"/>
      <c r="N24">
        <v>6025</v>
      </c>
      <c r="O24">
        <v>6025</v>
      </c>
      <c r="P24">
        <v>5802</v>
      </c>
      <c r="Q24">
        <v>194</v>
      </c>
      <c r="R24">
        <v>24</v>
      </c>
      <c r="S24">
        <v>5</v>
      </c>
      <c r="T24"/>
    </row>
    <row r="25" spans="1:20" x14ac:dyDescent="0.2">
      <c r="A25">
        <v>3530607</v>
      </c>
      <c r="B25" t="s">
        <v>72</v>
      </c>
      <c r="C25" s="1">
        <v>16</v>
      </c>
      <c r="D25">
        <v>1.9490000000000001</v>
      </c>
      <c r="E25">
        <v>194.9</v>
      </c>
      <c r="F25">
        <v>90.5</v>
      </c>
      <c r="G25">
        <v>17634</v>
      </c>
      <c r="H25">
        <v>5980</v>
      </c>
      <c r="I25">
        <v>2469</v>
      </c>
      <c r="J25">
        <v>45</v>
      </c>
      <c r="K25">
        <v>9105</v>
      </c>
      <c r="L25">
        <v>35</v>
      </c>
      <c r="M25"/>
      <c r="N25">
        <v>6299</v>
      </c>
      <c r="O25">
        <v>6299</v>
      </c>
      <c r="P25">
        <v>5662</v>
      </c>
      <c r="Q25">
        <v>534</v>
      </c>
      <c r="R25">
        <v>97</v>
      </c>
      <c r="S25">
        <v>6</v>
      </c>
      <c r="T25"/>
    </row>
    <row r="26" spans="1:20" x14ac:dyDescent="0.2">
      <c r="A26">
        <v>3506359</v>
      </c>
      <c r="B26" t="s">
        <v>73</v>
      </c>
      <c r="C26" s="1">
        <v>24</v>
      </c>
      <c r="D26">
        <v>4.0140000000000002</v>
      </c>
      <c r="E26">
        <v>401.4</v>
      </c>
      <c r="F26">
        <v>40.9</v>
      </c>
      <c r="G26">
        <v>16400</v>
      </c>
      <c r="H26">
        <v>4992</v>
      </c>
      <c r="I26">
        <v>1997</v>
      </c>
      <c r="J26">
        <v>41</v>
      </c>
      <c r="K26">
        <v>9296</v>
      </c>
      <c r="L26">
        <v>74</v>
      </c>
      <c r="M26"/>
      <c r="N26">
        <v>6995</v>
      </c>
      <c r="O26">
        <v>6991</v>
      </c>
      <c r="P26">
        <v>5583</v>
      </c>
      <c r="Q26">
        <v>550</v>
      </c>
      <c r="R26">
        <v>814</v>
      </c>
      <c r="S26">
        <v>44</v>
      </c>
      <c r="T26">
        <v>4</v>
      </c>
    </row>
    <row r="27" spans="1:20" x14ac:dyDescent="0.2">
      <c r="A27">
        <v>3555406</v>
      </c>
      <c r="B27" t="s">
        <v>74</v>
      </c>
      <c r="C27" s="1">
        <v>18</v>
      </c>
      <c r="D27">
        <v>5.5090000000000003</v>
      </c>
      <c r="E27">
        <v>550.9</v>
      </c>
      <c r="F27">
        <v>29.7</v>
      </c>
      <c r="G27">
        <v>16382</v>
      </c>
      <c r="H27">
        <v>6355</v>
      </c>
      <c r="I27">
        <v>1906</v>
      </c>
      <c r="J27">
        <v>27</v>
      </c>
      <c r="K27">
        <v>8036</v>
      </c>
      <c r="L27">
        <v>58</v>
      </c>
      <c r="M27"/>
      <c r="N27">
        <v>6878</v>
      </c>
      <c r="O27">
        <v>6868</v>
      </c>
      <c r="P27">
        <v>5496</v>
      </c>
      <c r="Q27">
        <v>740</v>
      </c>
      <c r="R27">
        <v>614</v>
      </c>
      <c r="S27">
        <v>18</v>
      </c>
      <c r="T27">
        <v>10</v>
      </c>
    </row>
    <row r="28" spans="1:20" x14ac:dyDescent="0.2">
      <c r="A28">
        <v>3556503</v>
      </c>
      <c r="B28" t="s">
        <v>75</v>
      </c>
      <c r="C28" s="1">
        <v>3</v>
      </c>
      <c r="D28">
        <v>0.80600000000000005</v>
      </c>
      <c r="E28">
        <v>80.599999999999994</v>
      </c>
      <c r="F28">
        <v>191.2</v>
      </c>
      <c r="G28">
        <v>15411</v>
      </c>
      <c r="H28">
        <v>5852</v>
      </c>
      <c r="I28">
        <v>1746</v>
      </c>
      <c r="J28">
        <v>7</v>
      </c>
      <c r="K28">
        <v>7803</v>
      </c>
      <c r="L28">
        <v>3</v>
      </c>
      <c r="M28"/>
      <c r="N28">
        <v>5235</v>
      </c>
      <c r="O28">
        <v>5234</v>
      </c>
      <c r="P28">
        <v>4968</v>
      </c>
      <c r="Q28">
        <v>235</v>
      </c>
      <c r="R28">
        <v>28</v>
      </c>
      <c r="S28">
        <v>3</v>
      </c>
      <c r="T28">
        <v>1</v>
      </c>
    </row>
    <row r="29" spans="1:20" x14ac:dyDescent="0.2">
      <c r="A29">
        <v>3516408</v>
      </c>
      <c r="B29" t="s">
        <v>76</v>
      </c>
      <c r="C29" s="1">
        <v>25</v>
      </c>
      <c r="D29">
        <v>1.8</v>
      </c>
      <c r="E29">
        <v>180</v>
      </c>
      <c r="F29">
        <v>81.8</v>
      </c>
      <c r="G29">
        <v>14726</v>
      </c>
      <c r="H29">
        <v>4852</v>
      </c>
      <c r="I29">
        <v>2106</v>
      </c>
      <c r="J29">
        <v>15</v>
      </c>
      <c r="K29">
        <v>7739</v>
      </c>
      <c r="L29">
        <v>14</v>
      </c>
      <c r="M29"/>
      <c r="N29">
        <v>5492</v>
      </c>
      <c r="O29">
        <v>5492</v>
      </c>
      <c r="P29">
        <v>4874</v>
      </c>
      <c r="Q29">
        <v>436</v>
      </c>
      <c r="R29">
        <v>176</v>
      </c>
      <c r="S29">
        <v>6</v>
      </c>
      <c r="T29"/>
    </row>
    <row r="30" spans="1:20" x14ac:dyDescent="0.2">
      <c r="A30">
        <v>3522208</v>
      </c>
      <c r="B30" t="s">
        <v>77</v>
      </c>
      <c r="C30" s="1">
        <v>20</v>
      </c>
      <c r="D30">
        <v>1.3080000000000001</v>
      </c>
      <c r="E30">
        <v>130.80000000000001</v>
      </c>
      <c r="F30">
        <v>108.1</v>
      </c>
      <c r="G30">
        <v>14140</v>
      </c>
      <c r="H30">
        <v>4786</v>
      </c>
      <c r="I30">
        <v>2266</v>
      </c>
      <c r="J30">
        <v>19</v>
      </c>
      <c r="K30">
        <v>7042</v>
      </c>
      <c r="L30">
        <v>26</v>
      </c>
      <c r="M30">
        <v>1</v>
      </c>
      <c r="N30">
        <v>5909</v>
      </c>
      <c r="O30">
        <v>5909</v>
      </c>
      <c r="P30">
        <v>4911</v>
      </c>
      <c r="Q30">
        <v>629</v>
      </c>
      <c r="R30">
        <v>359</v>
      </c>
      <c r="S30">
        <v>10</v>
      </c>
      <c r="T30"/>
    </row>
    <row r="31" spans="1:20" x14ac:dyDescent="0.2">
      <c r="A31">
        <v>3522505</v>
      </c>
      <c r="B31" t="s">
        <v>78</v>
      </c>
      <c r="C31" s="1">
        <v>20</v>
      </c>
      <c r="D31">
        <v>0.65600000000000003</v>
      </c>
      <c r="E31">
        <v>65.599999999999994</v>
      </c>
      <c r="F31">
        <v>212.1</v>
      </c>
      <c r="G31">
        <v>13911</v>
      </c>
      <c r="H31">
        <v>3530</v>
      </c>
      <c r="I31">
        <v>1448</v>
      </c>
      <c r="J31">
        <v>17</v>
      </c>
      <c r="K31">
        <v>8909</v>
      </c>
      <c r="L31">
        <v>7</v>
      </c>
      <c r="M31"/>
      <c r="N31">
        <v>5059</v>
      </c>
      <c r="O31">
        <v>5059</v>
      </c>
      <c r="P31">
        <v>4898</v>
      </c>
      <c r="Q31">
        <v>130</v>
      </c>
      <c r="R31">
        <v>12</v>
      </c>
      <c r="S31">
        <v>19</v>
      </c>
      <c r="T31"/>
    </row>
    <row r="32" spans="1:20" x14ac:dyDescent="0.2">
      <c r="A32">
        <v>3552205</v>
      </c>
      <c r="B32" t="s">
        <v>79</v>
      </c>
      <c r="C32" s="1">
        <v>22</v>
      </c>
      <c r="D32">
        <v>2.1560000000000001</v>
      </c>
      <c r="E32">
        <v>215.6</v>
      </c>
      <c r="F32">
        <v>57.7</v>
      </c>
      <c r="G32">
        <v>12433</v>
      </c>
      <c r="H32">
        <v>5692</v>
      </c>
      <c r="I32">
        <v>1263</v>
      </c>
      <c r="J32">
        <v>14</v>
      </c>
      <c r="K32">
        <v>5457</v>
      </c>
      <c r="L32">
        <v>6</v>
      </c>
      <c r="M32">
        <v>1</v>
      </c>
      <c r="N32">
        <v>4518</v>
      </c>
      <c r="O32">
        <v>4517</v>
      </c>
      <c r="P32">
        <v>3911</v>
      </c>
      <c r="Q32">
        <v>416</v>
      </c>
      <c r="R32">
        <v>99</v>
      </c>
      <c r="S32">
        <v>91</v>
      </c>
      <c r="T32">
        <v>1</v>
      </c>
    </row>
    <row r="33" spans="1:20" x14ac:dyDescent="0.2">
      <c r="A33">
        <v>3552403</v>
      </c>
      <c r="B33" t="s">
        <v>80</v>
      </c>
      <c r="C33" s="1">
        <v>13</v>
      </c>
      <c r="D33">
        <v>1.4690000000000001</v>
      </c>
      <c r="E33">
        <v>146.9</v>
      </c>
      <c r="F33">
        <v>75.8</v>
      </c>
      <c r="G33">
        <v>11138</v>
      </c>
      <c r="H33">
        <v>3719</v>
      </c>
      <c r="I33">
        <v>1349</v>
      </c>
      <c r="J33">
        <v>11</v>
      </c>
      <c r="K33">
        <v>6044</v>
      </c>
      <c r="L33">
        <v>15</v>
      </c>
      <c r="M33"/>
      <c r="N33">
        <v>4287</v>
      </c>
      <c r="O33">
        <v>4287</v>
      </c>
      <c r="P33">
        <v>3718</v>
      </c>
      <c r="Q33">
        <v>437</v>
      </c>
      <c r="R33">
        <v>126</v>
      </c>
      <c r="S33">
        <v>6</v>
      </c>
      <c r="T33"/>
    </row>
    <row r="34" spans="1:20" x14ac:dyDescent="0.2">
      <c r="A34">
        <v>3513009</v>
      </c>
      <c r="B34" t="s">
        <v>81</v>
      </c>
      <c r="C34" s="1">
        <v>19</v>
      </c>
      <c r="D34">
        <v>0.71899999999999997</v>
      </c>
      <c r="E34">
        <v>71.900000000000006</v>
      </c>
      <c r="F34">
        <v>154.69999999999999</v>
      </c>
      <c r="G34">
        <v>11123</v>
      </c>
      <c r="H34">
        <v>3554</v>
      </c>
      <c r="I34">
        <v>1565</v>
      </c>
      <c r="J34">
        <v>22</v>
      </c>
      <c r="K34">
        <v>5968</v>
      </c>
      <c r="L34">
        <v>14</v>
      </c>
      <c r="M34"/>
      <c r="N34">
        <v>4141</v>
      </c>
      <c r="O34">
        <v>4141</v>
      </c>
      <c r="P34">
        <v>3680</v>
      </c>
      <c r="Q34">
        <v>410</v>
      </c>
      <c r="R34">
        <v>46</v>
      </c>
      <c r="S34">
        <v>5</v>
      </c>
      <c r="T34"/>
    </row>
    <row r="35" spans="1:20" x14ac:dyDescent="0.2">
      <c r="A35">
        <v>3509205</v>
      </c>
      <c r="B35" t="s">
        <v>82</v>
      </c>
      <c r="C35" s="1">
        <v>21</v>
      </c>
      <c r="D35">
        <v>1.645</v>
      </c>
      <c r="E35">
        <v>164.5</v>
      </c>
      <c r="F35">
        <v>67.400000000000006</v>
      </c>
      <c r="G35">
        <v>11081</v>
      </c>
      <c r="H35">
        <v>4508</v>
      </c>
      <c r="I35">
        <v>1125</v>
      </c>
      <c r="J35">
        <v>5</v>
      </c>
      <c r="K35">
        <v>5426</v>
      </c>
      <c r="L35">
        <v>17</v>
      </c>
      <c r="M35"/>
      <c r="N35">
        <v>4148</v>
      </c>
      <c r="O35">
        <v>4148</v>
      </c>
      <c r="P35">
        <v>3751</v>
      </c>
      <c r="Q35">
        <v>344</v>
      </c>
      <c r="R35">
        <v>53</v>
      </c>
      <c r="S35"/>
      <c r="T35"/>
    </row>
    <row r="36" spans="1:20" x14ac:dyDescent="0.2">
      <c r="A36">
        <v>3538709</v>
      </c>
      <c r="B36" t="s">
        <v>83</v>
      </c>
      <c r="C36" s="1">
        <v>16</v>
      </c>
      <c r="D36">
        <v>0.84799999999999998</v>
      </c>
      <c r="E36">
        <v>84.8</v>
      </c>
      <c r="F36">
        <v>128.1</v>
      </c>
      <c r="G36">
        <v>10863</v>
      </c>
      <c r="H36">
        <v>3076</v>
      </c>
      <c r="I36">
        <v>1766</v>
      </c>
      <c r="J36">
        <v>6</v>
      </c>
      <c r="K36">
        <v>6010</v>
      </c>
      <c r="L36">
        <v>5</v>
      </c>
      <c r="M36"/>
      <c r="N36">
        <v>4590</v>
      </c>
      <c r="O36">
        <v>4588</v>
      </c>
      <c r="P36">
        <v>3450</v>
      </c>
      <c r="Q36">
        <v>604</v>
      </c>
      <c r="R36">
        <v>81</v>
      </c>
      <c r="S36">
        <v>453</v>
      </c>
      <c r="T36">
        <v>2</v>
      </c>
    </row>
    <row r="37" spans="1:20" x14ac:dyDescent="0.2">
      <c r="A37">
        <v>3509700</v>
      </c>
      <c r="B37" t="s">
        <v>84</v>
      </c>
      <c r="C37" s="1">
        <v>11</v>
      </c>
      <c r="D37">
        <v>0.93300000000000005</v>
      </c>
      <c r="E37">
        <v>93.3</v>
      </c>
      <c r="F37">
        <v>97.1</v>
      </c>
      <c r="G37">
        <v>9063</v>
      </c>
      <c r="H37">
        <v>6056</v>
      </c>
      <c r="I37">
        <v>368</v>
      </c>
      <c r="J37">
        <v>3</v>
      </c>
      <c r="K37">
        <v>2629</v>
      </c>
      <c r="L37">
        <v>7</v>
      </c>
      <c r="M37"/>
      <c r="N37">
        <v>3251</v>
      </c>
      <c r="O37">
        <v>3245</v>
      </c>
      <c r="P37">
        <v>2905</v>
      </c>
      <c r="Q37">
        <v>285</v>
      </c>
      <c r="R37">
        <v>54</v>
      </c>
      <c r="S37">
        <v>1</v>
      </c>
      <c r="T37">
        <v>6</v>
      </c>
    </row>
    <row r="38" spans="1:20" x14ac:dyDescent="0.2">
      <c r="A38">
        <v>3505708</v>
      </c>
      <c r="B38" t="s">
        <v>85</v>
      </c>
      <c r="C38" s="1">
        <v>14</v>
      </c>
      <c r="D38">
        <v>0.28999999999999998</v>
      </c>
      <c r="E38">
        <v>29</v>
      </c>
      <c r="F38">
        <v>300.60000000000002</v>
      </c>
      <c r="G38">
        <v>8717</v>
      </c>
      <c r="H38">
        <v>3055</v>
      </c>
      <c r="I38">
        <v>961</v>
      </c>
      <c r="J38">
        <v>9</v>
      </c>
      <c r="K38">
        <v>4689</v>
      </c>
      <c r="L38">
        <v>3</v>
      </c>
      <c r="M38"/>
      <c r="N38">
        <v>3094</v>
      </c>
      <c r="O38">
        <v>3094</v>
      </c>
      <c r="P38">
        <v>2925</v>
      </c>
      <c r="Q38">
        <v>150</v>
      </c>
      <c r="R38">
        <v>19</v>
      </c>
      <c r="S38"/>
      <c r="T38"/>
    </row>
    <row r="39" spans="1:20" x14ac:dyDescent="0.2">
      <c r="A39">
        <v>3509007</v>
      </c>
      <c r="B39" t="s">
        <v>86</v>
      </c>
      <c r="C39" s="1">
        <v>10</v>
      </c>
      <c r="D39">
        <v>0.42399999999999999</v>
      </c>
      <c r="E39">
        <v>42.4</v>
      </c>
      <c r="F39">
        <v>161.6</v>
      </c>
      <c r="G39">
        <v>6850</v>
      </c>
      <c r="H39">
        <v>2197</v>
      </c>
      <c r="I39">
        <v>924</v>
      </c>
      <c r="J39">
        <v>9</v>
      </c>
      <c r="K39">
        <v>3696</v>
      </c>
      <c r="L39">
        <v>24</v>
      </c>
      <c r="M39"/>
      <c r="N39">
        <v>2360</v>
      </c>
      <c r="O39">
        <v>2360</v>
      </c>
      <c r="P39">
        <v>2233</v>
      </c>
      <c r="Q39">
        <v>121</v>
      </c>
      <c r="R39">
        <v>6</v>
      </c>
      <c r="S39"/>
      <c r="T39"/>
    </row>
    <row r="40" spans="1:20" x14ac:dyDescent="0.2">
      <c r="A40">
        <v>3520400</v>
      </c>
      <c r="B40" t="s">
        <v>87</v>
      </c>
      <c r="C40" s="1">
        <v>13</v>
      </c>
      <c r="D40">
        <v>1.0960000000000001</v>
      </c>
      <c r="E40">
        <v>109.6</v>
      </c>
      <c r="F40">
        <v>62.3</v>
      </c>
      <c r="G40">
        <v>6833</v>
      </c>
      <c r="H40">
        <v>2557</v>
      </c>
      <c r="I40">
        <v>725</v>
      </c>
      <c r="J40">
        <v>18</v>
      </c>
      <c r="K40">
        <v>3475</v>
      </c>
      <c r="L40">
        <v>58</v>
      </c>
      <c r="M40"/>
      <c r="N40">
        <v>2598</v>
      </c>
      <c r="O40">
        <v>2597</v>
      </c>
      <c r="P40">
        <v>2318</v>
      </c>
      <c r="Q40">
        <v>125</v>
      </c>
      <c r="R40">
        <v>153</v>
      </c>
      <c r="S40">
        <v>1</v>
      </c>
      <c r="T40">
        <v>1</v>
      </c>
    </row>
    <row r="41" spans="1:20" x14ac:dyDescent="0.2">
      <c r="A41">
        <v>3549904</v>
      </c>
      <c r="B41" t="s">
        <v>88</v>
      </c>
      <c r="C41" s="1">
        <v>12</v>
      </c>
      <c r="D41">
        <v>1.121</v>
      </c>
      <c r="E41">
        <v>112.1</v>
      </c>
      <c r="F41">
        <v>58</v>
      </c>
      <c r="G41">
        <v>6497</v>
      </c>
      <c r="H41">
        <v>2604</v>
      </c>
      <c r="I41">
        <v>707</v>
      </c>
      <c r="J41">
        <v>2</v>
      </c>
      <c r="K41">
        <v>3174</v>
      </c>
      <c r="L41">
        <v>10</v>
      </c>
      <c r="M41"/>
      <c r="N41">
        <v>2349</v>
      </c>
      <c r="O41">
        <v>2348</v>
      </c>
      <c r="P41">
        <v>2171</v>
      </c>
      <c r="Q41">
        <v>140</v>
      </c>
      <c r="R41">
        <v>27</v>
      </c>
      <c r="S41">
        <v>10</v>
      </c>
      <c r="T41">
        <v>1</v>
      </c>
    </row>
    <row r="42" spans="1:20" x14ac:dyDescent="0.2">
      <c r="A42">
        <v>3524402</v>
      </c>
      <c r="B42" t="s">
        <v>89</v>
      </c>
      <c r="C42" s="1">
        <v>10</v>
      </c>
      <c r="D42">
        <v>0.90600000000000003</v>
      </c>
      <c r="E42">
        <v>90.6</v>
      </c>
      <c r="F42">
        <v>70.3</v>
      </c>
      <c r="G42">
        <v>6365</v>
      </c>
      <c r="H42">
        <v>2737</v>
      </c>
      <c r="I42">
        <v>679</v>
      </c>
      <c r="J42">
        <v>8</v>
      </c>
      <c r="K42">
        <v>2936</v>
      </c>
      <c r="L42">
        <v>5</v>
      </c>
      <c r="M42"/>
      <c r="N42">
        <v>2402</v>
      </c>
      <c r="O42">
        <v>2402</v>
      </c>
      <c r="P42">
        <v>2109</v>
      </c>
      <c r="Q42">
        <v>259</v>
      </c>
      <c r="R42">
        <v>34</v>
      </c>
      <c r="S42"/>
      <c r="T42"/>
    </row>
    <row r="43" spans="1:20" x14ac:dyDescent="0.2">
      <c r="A43">
        <v>3506003</v>
      </c>
      <c r="B43" t="s">
        <v>90</v>
      </c>
      <c r="C43" s="1">
        <v>15</v>
      </c>
      <c r="D43">
        <v>2.38</v>
      </c>
      <c r="E43">
        <v>238</v>
      </c>
      <c r="F43">
        <v>26.5</v>
      </c>
      <c r="G43">
        <v>6310</v>
      </c>
      <c r="H43">
        <v>2311</v>
      </c>
      <c r="I43">
        <v>745</v>
      </c>
      <c r="J43">
        <v>4</v>
      </c>
      <c r="K43">
        <v>3242</v>
      </c>
      <c r="L43">
        <v>8</v>
      </c>
      <c r="M43"/>
      <c r="N43">
        <v>2586</v>
      </c>
      <c r="O43">
        <v>2586</v>
      </c>
      <c r="P43">
        <v>2018</v>
      </c>
      <c r="Q43">
        <v>317</v>
      </c>
      <c r="R43">
        <v>187</v>
      </c>
      <c r="S43">
        <v>64</v>
      </c>
      <c r="T43"/>
    </row>
    <row r="44" spans="1:20" x14ac:dyDescent="0.2">
      <c r="A44">
        <v>3510500</v>
      </c>
      <c r="B44" t="s">
        <v>91</v>
      </c>
      <c r="C44" s="1">
        <v>12</v>
      </c>
      <c r="D44">
        <v>1.296</v>
      </c>
      <c r="E44">
        <v>129.6</v>
      </c>
      <c r="F44">
        <v>43.2</v>
      </c>
      <c r="G44">
        <v>5601</v>
      </c>
      <c r="H44">
        <v>2398</v>
      </c>
      <c r="I44">
        <v>562</v>
      </c>
      <c r="J44">
        <v>2</v>
      </c>
      <c r="K44">
        <v>2622</v>
      </c>
      <c r="L44">
        <v>17</v>
      </c>
      <c r="M44"/>
      <c r="N44">
        <v>2396</v>
      </c>
      <c r="O44">
        <v>2396</v>
      </c>
      <c r="P44">
        <v>1833</v>
      </c>
      <c r="Q44">
        <v>263</v>
      </c>
      <c r="R44">
        <v>261</v>
      </c>
      <c r="S44">
        <v>39</v>
      </c>
      <c r="T44"/>
    </row>
    <row r="45" spans="1:20" x14ac:dyDescent="0.2">
      <c r="A45">
        <v>3504107</v>
      </c>
      <c r="B45" t="s">
        <v>92</v>
      </c>
      <c r="C45" s="1">
        <v>11</v>
      </c>
      <c r="D45">
        <v>0.78800000000000003</v>
      </c>
      <c r="E45">
        <v>78.8</v>
      </c>
      <c r="F45">
        <v>68.099999999999994</v>
      </c>
      <c r="G45">
        <v>5370</v>
      </c>
      <c r="H45">
        <v>2526</v>
      </c>
      <c r="I45">
        <v>450</v>
      </c>
      <c r="J45">
        <v>16</v>
      </c>
      <c r="K45">
        <v>2371</v>
      </c>
      <c r="L45">
        <v>7</v>
      </c>
      <c r="M45"/>
      <c r="N45">
        <v>1961</v>
      </c>
      <c r="O45">
        <v>1960</v>
      </c>
      <c r="P45">
        <v>1761</v>
      </c>
      <c r="Q45">
        <v>151</v>
      </c>
      <c r="R45">
        <v>42</v>
      </c>
      <c r="S45">
        <v>6</v>
      </c>
      <c r="T45">
        <v>1</v>
      </c>
    </row>
    <row r="46" spans="1:20" x14ac:dyDescent="0.2">
      <c r="A46">
        <v>3544103</v>
      </c>
      <c r="B46" t="s">
        <v>93</v>
      </c>
      <c r="C46" s="1">
        <v>7</v>
      </c>
      <c r="D46">
        <v>0.70899999999999996</v>
      </c>
      <c r="E46">
        <v>70.900000000000006</v>
      </c>
      <c r="F46">
        <v>73.3</v>
      </c>
      <c r="G46">
        <v>5195</v>
      </c>
      <c r="H46">
        <v>2055</v>
      </c>
      <c r="I46">
        <v>576</v>
      </c>
      <c r="J46">
        <v>3</v>
      </c>
      <c r="K46">
        <v>2550</v>
      </c>
      <c r="L46">
        <v>11</v>
      </c>
      <c r="M46"/>
      <c r="N46">
        <v>2049</v>
      </c>
      <c r="O46">
        <v>2048</v>
      </c>
      <c r="P46">
        <v>1842</v>
      </c>
      <c r="Q46">
        <v>178</v>
      </c>
      <c r="R46">
        <v>28</v>
      </c>
      <c r="S46"/>
      <c r="T46">
        <v>1</v>
      </c>
    </row>
    <row r="47" spans="1:20" x14ac:dyDescent="0.2">
      <c r="A47">
        <v>3525003</v>
      </c>
      <c r="B47" t="s">
        <v>94</v>
      </c>
      <c r="C47" s="1">
        <v>8</v>
      </c>
      <c r="D47">
        <v>0.20599999999999999</v>
      </c>
      <c r="E47">
        <v>20.6</v>
      </c>
      <c r="F47">
        <v>241.5</v>
      </c>
      <c r="G47">
        <v>4974</v>
      </c>
      <c r="H47">
        <v>1570</v>
      </c>
      <c r="I47">
        <v>826</v>
      </c>
      <c r="J47">
        <v>3</v>
      </c>
      <c r="K47">
        <v>2575</v>
      </c>
      <c r="L47"/>
      <c r="M47"/>
      <c r="N47">
        <v>1891</v>
      </c>
      <c r="O47">
        <v>1891</v>
      </c>
      <c r="P47">
        <v>1692</v>
      </c>
      <c r="Q47">
        <v>189</v>
      </c>
      <c r="R47">
        <v>6</v>
      </c>
      <c r="S47">
        <v>4</v>
      </c>
      <c r="T47"/>
    </row>
    <row r="48" spans="1:20" x14ac:dyDescent="0.2">
      <c r="A48">
        <v>3557006</v>
      </c>
      <c r="B48" t="s">
        <v>95</v>
      </c>
      <c r="C48" s="1">
        <v>9</v>
      </c>
      <c r="D48">
        <v>0.55300000000000005</v>
      </c>
      <c r="E48">
        <v>55.3</v>
      </c>
      <c r="F48">
        <v>89</v>
      </c>
      <c r="G48">
        <v>4919</v>
      </c>
      <c r="H48">
        <v>2028</v>
      </c>
      <c r="I48">
        <v>512</v>
      </c>
      <c r="J48">
        <v>3</v>
      </c>
      <c r="K48">
        <v>2371</v>
      </c>
      <c r="L48">
        <v>5</v>
      </c>
      <c r="M48"/>
      <c r="N48">
        <v>1613</v>
      </c>
      <c r="O48">
        <v>1613</v>
      </c>
      <c r="P48">
        <v>1404</v>
      </c>
      <c r="Q48">
        <v>77</v>
      </c>
      <c r="R48">
        <v>14</v>
      </c>
      <c r="S48">
        <v>118</v>
      </c>
      <c r="T48"/>
    </row>
    <row r="49" spans="1:20" x14ac:dyDescent="0.2">
      <c r="A49">
        <v>3543303</v>
      </c>
      <c r="B49" t="s">
        <v>96</v>
      </c>
      <c r="C49" s="1">
        <v>4</v>
      </c>
      <c r="D49">
        <v>0.315</v>
      </c>
      <c r="E49">
        <v>31.5</v>
      </c>
      <c r="F49">
        <v>148.5</v>
      </c>
      <c r="G49">
        <v>4678</v>
      </c>
      <c r="H49">
        <v>1681</v>
      </c>
      <c r="I49">
        <v>525</v>
      </c>
      <c r="J49"/>
      <c r="K49">
        <v>2471</v>
      </c>
      <c r="L49">
        <v>1</v>
      </c>
      <c r="M49"/>
      <c r="N49">
        <v>1773</v>
      </c>
      <c r="O49">
        <v>1773</v>
      </c>
      <c r="P49">
        <v>1629</v>
      </c>
      <c r="Q49">
        <v>90</v>
      </c>
      <c r="R49">
        <v>5</v>
      </c>
      <c r="S49">
        <v>49</v>
      </c>
      <c r="T49"/>
    </row>
    <row r="50" spans="1:20" x14ac:dyDescent="0.2">
      <c r="A50">
        <v>3519071</v>
      </c>
      <c r="B50" t="s">
        <v>97</v>
      </c>
      <c r="C50" s="1">
        <v>7</v>
      </c>
      <c r="D50">
        <v>0.35799999999999998</v>
      </c>
      <c r="E50">
        <v>35.799999999999997</v>
      </c>
      <c r="F50">
        <v>118</v>
      </c>
      <c r="G50">
        <v>4223</v>
      </c>
      <c r="H50">
        <v>1270</v>
      </c>
      <c r="I50">
        <v>519</v>
      </c>
      <c r="J50">
        <v>2</v>
      </c>
      <c r="K50">
        <v>2422</v>
      </c>
      <c r="L50">
        <v>10</v>
      </c>
      <c r="M50"/>
      <c r="N50">
        <v>1447</v>
      </c>
      <c r="O50">
        <v>1447</v>
      </c>
      <c r="P50">
        <v>1366</v>
      </c>
      <c r="Q50">
        <v>66</v>
      </c>
      <c r="R50">
        <v>15</v>
      </c>
      <c r="S50"/>
      <c r="T50"/>
    </row>
    <row r="51" spans="1:20" x14ac:dyDescent="0.2">
      <c r="A51">
        <v>3547304</v>
      </c>
      <c r="B51" t="s">
        <v>98</v>
      </c>
      <c r="C51" s="1">
        <v>8</v>
      </c>
      <c r="D51">
        <v>0.29799999999999999</v>
      </c>
      <c r="E51">
        <v>29.8</v>
      </c>
      <c r="F51">
        <v>127.3</v>
      </c>
      <c r="G51">
        <v>3793</v>
      </c>
      <c r="H51">
        <v>1165</v>
      </c>
      <c r="I51">
        <v>376</v>
      </c>
      <c r="J51">
        <v>2</v>
      </c>
      <c r="K51">
        <v>2247</v>
      </c>
      <c r="L51">
        <v>3</v>
      </c>
      <c r="M51"/>
      <c r="N51">
        <v>1356</v>
      </c>
      <c r="O51">
        <v>1356</v>
      </c>
      <c r="P51">
        <v>1266</v>
      </c>
      <c r="Q51">
        <v>83</v>
      </c>
      <c r="R51">
        <v>7</v>
      </c>
      <c r="S51"/>
      <c r="T51"/>
    </row>
    <row r="52" spans="1:20" x14ac:dyDescent="0.2">
      <c r="A52">
        <v>3528502</v>
      </c>
      <c r="B52" t="s">
        <v>99</v>
      </c>
      <c r="C52" s="1">
        <v>11</v>
      </c>
      <c r="D52">
        <v>0.65300000000000002</v>
      </c>
      <c r="E52">
        <v>65.3</v>
      </c>
      <c r="F52">
        <v>53.2</v>
      </c>
      <c r="G52">
        <v>3475</v>
      </c>
      <c r="H52">
        <v>1406</v>
      </c>
      <c r="I52">
        <v>346</v>
      </c>
      <c r="J52">
        <v>3</v>
      </c>
      <c r="K52">
        <v>1716</v>
      </c>
      <c r="L52">
        <v>4</v>
      </c>
      <c r="M52"/>
      <c r="N52">
        <v>1319</v>
      </c>
      <c r="O52">
        <v>1319</v>
      </c>
      <c r="P52">
        <v>1181</v>
      </c>
      <c r="Q52">
        <v>107</v>
      </c>
      <c r="R52">
        <v>30</v>
      </c>
      <c r="S52">
        <v>1</v>
      </c>
      <c r="T52"/>
    </row>
    <row r="53" spans="1:20" x14ac:dyDescent="0.2">
      <c r="A53">
        <v>3509601</v>
      </c>
      <c r="B53" t="s">
        <v>100</v>
      </c>
      <c r="C53" s="1">
        <v>5</v>
      </c>
      <c r="D53">
        <v>0.98099999999999998</v>
      </c>
      <c r="E53">
        <v>98.1</v>
      </c>
      <c r="F53">
        <v>34.1</v>
      </c>
      <c r="G53">
        <v>3350</v>
      </c>
      <c r="H53">
        <v>1196</v>
      </c>
      <c r="I53">
        <v>455</v>
      </c>
      <c r="J53">
        <v>1</v>
      </c>
      <c r="K53">
        <v>1697</v>
      </c>
      <c r="L53">
        <v>1</v>
      </c>
      <c r="M53"/>
      <c r="N53">
        <v>1282</v>
      </c>
      <c r="O53">
        <v>1282</v>
      </c>
      <c r="P53">
        <v>1004</v>
      </c>
      <c r="Q53">
        <v>137</v>
      </c>
      <c r="R53">
        <v>60</v>
      </c>
      <c r="S53">
        <v>81</v>
      </c>
      <c r="T53"/>
    </row>
    <row r="54" spans="1:20" x14ac:dyDescent="0.2">
      <c r="A54">
        <v>3523909</v>
      </c>
      <c r="B54" t="s">
        <v>101</v>
      </c>
      <c r="C54" s="1">
        <v>6</v>
      </c>
      <c r="D54">
        <v>0.35099999999999998</v>
      </c>
      <c r="E54">
        <v>35.1</v>
      </c>
      <c r="F54">
        <v>92.5</v>
      </c>
      <c r="G54">
        <v>3245</v>
      </c>
      <c r="H54">
        <v>1291</v>
      </c>
      <c r="I54">
        <v>268</v>
      </c>
      <c r="J54"/>
      <c r="K54">
        <v>1686</v>
      </c>
      <c r="L54"/>
      <c r="M54"/>
      <c r="N54">
        <v>1260</v>
      </c>
      <c r="O54">
        <v>1260</v>
      </c>
      <c r="P54">
        <v>1061</v>
      </c>
      <c r="Q54">
        <v>165</v>
      </c>
      <c r="R54">
        <v>28</v>
      </c>
      <c r="S54">
        <v>6</v>
      </c>
      <c r="T54"/>
    </row>
    <row r="55" spans="1:20" x14ac:dyDescent="0.2">
      <c r="A55">
        <v>3529005</v>
      </c>
      <c r="B55" t="s">
        <v>102</v>
      </c>
      <c r="C55" s="1">
        <v>13</v>
      </c>
      <c r="D55">
        <v>0.75800000000000001</v>
      </c>
      <c r="E55">
        <v>75.8</v>
      </c>
      <c r="F55">
        <v>42.1</v>
      </c>
      <c r="G55">
        <v>3190</v>
      </c>
      <c r="H55">
        <v>1127</v>
      </c>
      <c r="I55">
        <v>413</v>
      </c>
      <c r="J55">
        <v>4</v>
      </c>
      <c r="K55">
        <v>1636</v>
      </c>
      <c r="L55">
        <v>10</v>
      </c>
      <c r="M55"/>
      <c r="N55">
        <v>1222</v>
      </c>
      <c r="O55">
        <v>1222</v>
      </c>
      <c r="P55">
        <v>1084</v>
      </c>
      <c r="Q55">
        <v>127</v>
      </c>
      <c r="R55">
        <v>10</v>
      </c>
      <c r="S55">
        <v>1</v>
      </c>
      <c r="T55"/>
    </row>
    <row r="56" spans="1:20" x14ac:dyDescent="0.2">
      <c r="A56">
        <v>3539103</v>
      </c>
      <c r="B56" t="s">
        <v>103</v>
      </c>
      <c r="C56" s="1">
        <v>4</v>
      </c>
      <c r="D56">
        <v>0.21299999999999999</v>
      </c>
      <c r="E56">
        <v>21.3</v>
      </c>
      <c r="F56">
        <v>139.80000000000001</v>
      </c>
      <c r="G56">
        <v>2978</v>
      </c>
      <c r="H56">
        <v>897</v>
      </c>
      <c r="I56">
        <v>436</v>
      </c>
      <c r="J56">
        <v>1</v>
      </c>
      <c r="K56">
        <v>1628</v>
      </c>
      <c r="L56">
        <v>16</v>
      </c>
      <c r="M56"/>
      <c r="N56">
        <v>982</v>
      </c>
      <c r="O56">
        <v>982</v>
      </c>
      <c r="P56">
        <v>901</v>
      </c>
      <c r="Q56">
        <v>57</v>
      </c>
      <c r="R56">
        <v>20</v>
      </c>
      <c r="S56">
        <v>4</v>
      </c>
      <c r="T56"/>
    </row>
    <row r="57" spans="1:20" x14ac:dyDescent="0.2">
      <c r="A57">
        <v>3554805</v>
      </c>
      <c r="B57" t="s">
        <v>104</v>
      </c>
      <c r="C57" s="1">
        <v>6</v>
      </c>
      <c r="D57">
        <v>1.64</v>
      </c>
      <c r="E57">
        <v>164</v>
      </c>
      <c r="F57">
        <v>17</v>
      </c>
      <c r="G57">
        <v>2788</v>
      </c>
      <c r="H57">
        <v>1366</v>
      </c>
      <c r="I57">
        <v>196</v>
      </c>
      <c r="J57">
        <v>1</v>
      </c>
      <c r="K57">
        <v>1223</v>
      </c>
      <c r="L57">
        <v>2</v>
      </c>
      <c r="M57"/>
      <c r="N57">
        <v>1166</v>
      </c>
      <c r="O57">
        <v>1166</v>
      </c>
      <c r="P57">
        <v>902</v>
      </c>
      <c r="Q57">
        <v>146</v>
      </c>
      <c r="R57">
        <v>117</v>
      </c>
      <c r="S57">
        <v>1</v>
      </c>
      <c r="T57"/>
    </row>
    <row r="58" spans="1:20" x14ac:dyDescent="0.2">
      <c r="A58">
        <v>3550605</v>
      </c>
      <c r="B58" t="s">
        <v>105</v>
      </c>
      <c r="C58" s="1">
        <v>7</v>
      </c>
      <c r="D58">
        <v>0.47499999999999998</v>
      </c>
      <c r="E58">
        <v>47.5</v>
      </c>
      <c r="F58">
        <v>53.1</v>
      </c>
      <c r="G58">
        <v>2521</v>
      </c>
      <c r="H58">
        <v>1054</v>
      </c>
      <c r="I58">
        <v>254</v>
      </c>
      <c r="J58">
        <v>8</v>
      </c>
      <c r="K58">
        <v>1205</v>
      </c>
      <c r="L58"/>
      <c r="M58"/>
      <c r="N58">
        <v>884</v>
      </c>
      <c r="O58">
        <v>884</v>
      </c>
      <c r="P58">
        <v>791</v>
      </c>
      <c r="Q58">
        <v>73</v>
      </c>
      <c r="R58">
        <v>19</v>
      </c>
      <c r="S58">
        <v>1</v>
      </c>
      <c r="T58"/>
    </row>
    <row r="59" spans="1:20" x14ac:dyDescent="0.2">
      <c r="A59">
        <v>3506607</v>
      </c>
      <c r="B59" t="s">
        <v>106</v>
      </c>
      <c r="C59" s="1">
        <v>4</v>
      </c>
      <c r="D59">
        <v>0.14599999999999999</v>
      </c>
      <c r="E59">
        <v>14.6</v>
      </c>
      <c r="F59">
        <v>164.4</v>
      </c>
      <c r="G59">
        <v>2400</v>
      </c>
      <c r="H59">
        <v>1023</v>
      </c>
      <c r="I59">
        <v>191</v>
      </c>
      <c r="J59"/>
      <c r="K59">
        <v>1181</v>
      </c>
      <c r="L59">
        <v>5</v>
      </c>
      <c r="M59"/>
      <c r="N59">
        <v>886</v>
      </c>
      <c r="O59">
        <v>886</v>
      </c>
      <c r="P59">
        <v>795</v>
      </c>
      <c r="Q59">
        <v>70</v>
      </c>
      <c r="R59">
        <v>21</v>
      </c>
      <c r="S59"/>
      <c r="T59"/>
    </row>
    <row r="60" spans="1:20" x14ac:dyDescent="0.2">
      <c r="A60">
        <v>3539806</v>
      </c>
      <c r="B60" t="s">
        <v>107</v>
      </c>
      <c r="C60" s="1">
        <v>4</v>
      </c>
      <c r="D60">
        <v>0.27200000000000002</v>
      </c>
      <c r="E60">
        <v>27.2</v>
      </c>
      <c r="F60">
        <v>75</v>
      </c>
      <c r="G60">
        <v>2040</v>
      </c>
      <c r="H60">
        <v>723</v>
      </c>
      <c r="I60">
        <v>254</v>
      </c>
      <c r="J60">
        <v>4</v>
      </c>
      <c r="K60">
        <v>1055</v>
      </c>
      <c r="L60">
        <v>4</v>
      </c>
      <c r="M60"/>
      <c r="N60">
        <v>775</v>
      </c>
      <c r="O60">
        <v>775</v>
      </c>
      <c r="P60">
        <v>677</v>
      </c>
      <c r="Q60">
        <v>73</v>
      </c>
      <c r="R60">
        <v>25</v>
      </c>
      <c r="S60"/>
      <c r="T60"/>
    </row>
    <row r="61" spans="1:20" x14ac:dyDescent="0.2">
      <c r="A61">
        <v>3512803</v>
      </c>
      <c r="B61" t="s">
        <v>108</v>
      </c>
      <c r="C61" s="1">
        <v>4</v>
      </c>
      <c r="D61">
        <v>0.16500000000000001</v>
      </c>
      <c r="E61">
        <v>16.5</v>
      </c>
      <c r="F61">
        <v>100.1</v>
      </c>
      <c r="G61">
        <v>1652</v>
      </c>
      <c r="H61">
        <v>468</v>
      </c>
      <c r="I61">
        <v>250</v>
      </c>
      <c r="J61">
        <v>1</v>
      </c>
      <c r="K61">
        <v>933</v>
      </c>
      <c r="L61"/>
      <c r="M61"/>
      <c r="N61">
        <v>716</v>
      </c>
      <c r="O61">
        <v>716</v>
      </c>
      <c r="P61">
        <v>597</v>
      </c>
      <c r="Q61">
        <v>73</v>
      </c>
      <c r="R61">
        <v>44</v>
      </c>
      <c r="S61">
        <v>2</v>
      </c>
      <c r="T61"/>
    </row>
    <row r="62" spans="1:20" x14ac:dyDescent="0.2">
      <c r="A62">
        <v>3550407</v>
      </c>
      <c r="B62" t="s">
        <v>109</v>
      </c>
      <c r="C62" s="1">
        <v>1</v>
      </c>
      <c r="D62">
        <v>0.20899999999999999</v>
      </c>
      <c r="E62">
        <v>20.9</v>
      </c>
      <c r="F62">
        <v>74.5</v>
      </c>
      <c r="G62">
        <v>1557</v>
      </c>
      <c r="H62">
        <v>704</v>
      </c>
      <c r="I62">
        <v>107</v>
      </c>
      <c r="J62"/>
      <c r="K62">
        <v>746</v>
      </c>
      <c r="L62"/>
      <c r="M62"/>
      <c r="N62">
        <v>472</v>
      </c>
      <c r="O62">
        <v>472</v>
      </c>
      <c r="P62">
        <v>441</v>
      </c>
      <c r="Q62">
        <v>16</v>
      </c>
      <c r="R62">
        <v>1</v>
      </c>
      <c r="S62">
        <v>14</v>
      </c>
      <c r="T62"/>
    </row>
    <row r="63" spans="1:20" x14ac:dyDescent="0.2">
      <c r="A63">
        <v>3503901</v>
      </c>
      <c r="B63" t="s">
        <v>110</v>
      </c>
      <c r="C63" s="1">
        <v>4</v>
      </c>
      <c r="D63">
        <v>0.33800000000000002</v>
      </c>
      <c r="E63">
        <v>33.799999999999997</v>
      </c>
      <c r="F63">
        <v>40.5</v>
      </c>
      <c r="G63">
        <v>1368</v>
      </c>
      <c r="H63">
        <v>466</v>
      </c>
      <c r="I63">
        <v>143</v>
      </c>
      <c r="J63">
        <v>1</v>
      </c>
      <c r="K63">
        <v>758</v>
      </c>
      <c r="L63"/>
      <c r="M63"/>
      <c r="N63">
        <v>460</v>
      </c>
      <c r="O63">
        <v>460</v>
      </c>
      <c r="P63">
        <v>409</v>
      </c>
      <c r="Q63">
        <v>32</v>
      </c>
      <c r="R63">
        <v>19</v>
      </c>
      <c r="S63"/>
      <c r="T63"/>
    </row>
    <row r="64" spans="1:20" x14ac:dyDescent="0.2">
      <c r="A64">
        <v>3519709</v>
      </c>
      <c r="B64" t="s">
        <v>111</v>
      </c>
      <c r="C64" s="1">
        <v>3</v>
      </c>
      <c r="D64">
        <v>0.19800000000000001</v>
      </c>
      <c r="E64">
        <v>19.8</v>
      </c>
      <c r="F64">
        <v>63.2</v>
      </c>
      <c r="G64">
        <v>1252</v>
      </c>
      <c r="H64">
        <v>625</v>
      </c>
      <c r="I64">
        <v>121</v>
      </c>
      <c r="J64">
        <v>6</v>
      </c>
      <c r="K64">
        <v>491</v>
      </c>
      <c r="L64">
        <v>9</v>
      </c>
      <c r="M64"/>
      <c r="N64">
        <v>466</v>
      </c>
      <c r="O64">
        <v>466</v>
      </c>
      <c r="P64">
        <v>408</v>
      </c>
      <c r="Q64">
        <v>49</v>
      </c>
      <c r="R64">
        <v>8</v>
      </c>
      <c r="S64">
        <v>1</v>
      </c>
      <c r="T64"/>
    </row>
    <row r="65" spans="1:20" x14ac:dyDescent="0.2">
      <c r="A65">
        <v>3540705</v>
      </c>
      <c r="B65" t="s">
        <v>112</v>
      </c>
      <c r="C65" s="1">
        <v>1</v>
      </c>
      <c r="D65">
        <v>0.16900000000000001</v>
      </c>
      <c r="E65">
        <v>16.899999999999999</v>
      </c>
      <c r="F65">
        <v>73</v>
      </c>
      <c r="G65">
        <v>1234</v>
      </c>
      <c r="H65">
        <v>343</v>
      </c>
      <c r="I65">
        <v>97</v>
      </c>
      <c r="J65"/>
      <c r="K65">
        <v>794</v>
      </c>
      <c r="L65"/>
      <c r="M65"/>
      <c r="N65">
        <v>430</v>
      </c>
      <c r="O65">
        <v>430</v>
      </c>
      <c r="P65">
        <v>375</v>
      </c>
      <c r="Q65">
        <v>48</v>
      </c>
      <c r="R65">
        <v>7</v>
      </c>
      <c r="S65"/>
      <c r="T65"/>
    </row>
    <row r="66" spans="1:20" x14ac:dyDescent="0.2">
      <c r="A66">
        <v>3513405</v>
      </c>
      <c r="B66" t="s">
        <v>113</v>
      </c>
      <c r="C66" s="1">
        <v>4</v>
      </c>
      <c r="D66">
        <v>0.126</v>
      </c>
      <c r="E66">
        <v>12.6</v>
      </c>
      <c r="F66">
        <v>88</v>
      </c>
      <c r="G66">
        <v>1109</v>
      </c>
      <c r="H66">
        <v>499</v>
      </c>
      <c r="I66">
        <v>114</v>
      </c>
      <c r="J66">
        <v>1</v>
      </c>
      <c r="K66">
        <v>495</v>
      </c>
      <c r="L66"/>
      <c r="M66"/>
      <c r="N66">
        <v>393</v>
      </c>
      <c r="O66">
        <v>393</v>
      </c>
      <c r="P66">
        <v>344</v>
      </c>
      <c r="Q66">
        <v>26</v>
      </c>
      <c r="R66">
        <v>22</v>
      </c>
      <c r="S66">
        <v>1</v>
      </c>
      <c r="T66"/>
    </row>
    <row r="67" spans="1:20" x14ac:dyDescent="0.2">
      <c r="A67">
        <v>3527207</v>
      </c>
      <c r="B67" t="s">
        <v>114</v>
      </c>
      <c r="C67" s="1">
        <v>1</v>
      </c>
      <c r="D67">
        <v>0.12</v>
      </c>
      <c r="E67">
        <v>12</v>
      </c>
      <c r="F67">
        <v>85.4</v>
      </c>
      <c r="G67">
        <v>1025</v>
      </c>
      <c r="H67">
        <v>419</v>
      </c>
      <c r="I67">
        <v>93</v>
      </c>
      <c r="J67"/>
      <c r="K67">
        <v>513</v>
      </c>
      <c r="L67"/>
      <c r="M67"/>
      <c r="N67">
        <v>336</v>
      </c>
      <c r="O67">
        <v>336</v>
      </c>
      <c r="P67">
        <v>306</v>
      </c>
      <c r="Q67">
        <v>24</v>
      </c>
      <c r="R67">
        <v>6</v>
      </c>
      <c r="S67"/>
      <c r="T67"/>
    </row>
    <row r="68" spans="1:20" x14ac:dyDescent="0.2">
      <c r="A68">
        <v>3518404</v>
      </c>
      <c r="B68" t="s">
        <v>115</v>
      </c>
      <c r="C68" s="1">
        <v>1</v>
      </c>
      <c r="D68">
        <v>0.22900000000000001</v>
      </c>
      <c r="E68">
        <v>22.9</v>
      </c>
      <c r="F68">
        <v>44.1</v>
      </c>
      <c r="G68">
        <v>1011</v>
      </c>
      <c r="H68">
        <v>452</v>
      </c>
      <c r="I68">
        <v>89</v>
      </c>
      <c r="J68"/>
      <c r="K68">
        <v>470</v>
      </c>
      <c r="L68"/>
      <c r="M68"/>
      <c r="N68">
        <v>360</v>
      </c>
      <c r="O68">
        <v>360</v>
      </c>
      <c r="P68">
        <v>246</v>
      </c>
      <c r="Q68">
        <v>48</v>
      </c>
      <c r="R68">
        <v>3</v>
      </c>
      <c r="S68">
        <v>63</v>
      </c>
      <c r="T68"/>
    </row>
    <row r="69" spans="1:20" x14ac:dyDescent="0.2">
      <c r="A69">
        <v>3546405</v>
      </c>
      <c r="B69" t="s">
        <v>116</v>
      </c>
      <c r="C69" s="1">
        <v>1</v>
      </c>
      <c r="D69">
        <v>0.18099999999999999</v>
      </c>
      <c r="E69">
        <v>18.100000000000001</v>
      </c>
      <c r="F69">
        <v>55</v>
      </c>
      <c r="G69">
        <v>995</v>
      </c>
      <c r="H69">
        <v>415</v>
      </c>
      <c r="I69">
        <v>144</v>
      </c>
      <c r="J69"/>
      <c r="K69">
        <v>435</v>
      </c>
      <c r="L69">
        <v>1</v>
      </c>
      <c r="M69"/>
      <c r="N69">
        <v>323</v>
      </c>
      <c r="O69">
        <v>323</v>
      </c>
      <c r="P69">
        <v>293</v>
      </c>
      <c r="Q69">
        <v>25</v>
      </c>
      <c r="R69">
        <v>5</v>
      </c>
      <c r="S69"/>
      <c r="T69"/>
    </row>
    <row r="70" spans="1:20" x14ac:dyDescent="0.2">
      <c r="A70">
        <v>3508405</v>
      </c>
      <c r="B70" t="s">
        <v>117</v>
      </c>
      <c r="C70" s="1">
        <v>4</v>
      </c>
      <c r="D70">
        <v>0.113</v>
      </c>
      <c r="E70">
        <v>11.3</v>
      </c>
      <c r="F70">
        <v>84.1</v>
      </c>
      <c r="G70">
        <v>950</v>
      </c>
      <c r="H70">
        <v>391</v>
      </c>
      <c r="I70">
        <v>61</v>
      </c>
      <c r="J70"/>
      <c r="K70">
        <v>498</v>
      </c>
      <c r="L70"/>
      <c r="M70"/>
      <c r="N70">
        <v>329</v>
      </c>
      <c r="O70">
        <v>329</v>
      </c>
      <c r="P70">
        <v>296</v>
      </c>
      <c r="Q70">
        <v>25</v>
      </c>
      <c r="R70">
        <v>8</v>
      </c>
      <c r="S70"/>
      <c r="T70"/>
    </row>
    <row r="71" spans="1:20" x14ac:dyDescent="0.2">
      <c r="A71">
        <v>3515103</v>
      </c>
      <c r="B71" t="s">
        <v>118</v>
      </c>
      <c r="C71" s="1">
        <v>4</v>
      </c>
      <c r="D71">
        <v>8.1000000000000003E-2</v>
      </c>
      <c r="E71">
        <v>8.1</v>
      </c>
      <c r="F71">
        <v>111.4</v>
      </c>
      <c r="G71">
        <v>902</v>
      </c>
      <c r="H71">
        <v>281</v>
      </c>
      <c r="I71">
        <v>76</v>
      </c>
      <c r="J71">
        <v>4</v>
      </c>
      <c r="K71">
        <v>540</v>
      </c>
      <c r="L71">
        <v>1</v>
      </c>
      <c r="M71"/>
      <c r="N71">
        <v>343</v>
      </c>
      <c r="O71">
        <v>343</v>
      </c>
      <c r="P71">
        <v>289</v>
      </c>
      <c r="Q71">
        <v>42</v>
      </c>
      <c r="R71">
        <v>12</v>
      </c>
      <c r="S71"/>
      <c r="T71"/>
    </row>
    <row r="72" spans="1:20" x14ac:dyDescent="0.2">
      <c r="A72">
        <v>3504909</v>
      </c>
      <c r="B72" t="s">
        <v>119</v>
      </c>
      <c r="C72" s="1">
        <v>2</v>
      </c>
      <c r="D72">
        <v>0.14199999999999999</v>
      </c>
      <c r="E72">
        <v>14.2</v>
      </c>
      <c r="F72">
        <v>59.9</v>
      </c>
      <c r="G72">
        <v>850</v>
      </c>
      <c r="H72">
        <v>320</v>
      </c>
      <c r="I72">
        <v>124</v>
      </c>
      <c r="J72">
        <v>1</v>
      </c>
      <c r="K72">
        <v>405</v>
      </c>
      <c r="L72"/>
      <c r="M72"/>
      <c r="N72">
        <v>393</v>
      </c>
      <c r="O72">
        <v>393</v>
      </c>
      <c r="P72">
        <v>307</v>
      </c>
      <c r="Q72">
        <v>66</v>
      </c>
      <c r="R72">
        <v>20</v>
      </c>
      <c r="S72"/>
      <c r="T72"/>
    </row>
    <row r="73" spans="1:20" x14ac:dyDescent="0.2">
      <c r="A73">
        <v>3548906</v>
      </c>
      <c r="B73" t="s">
        <v>120</v>
      </c>
      <c r="C73" s="1">
        <v>5</v>
      </c>
      <c r="D73">
        <v>0.17</v>
      </c>
      <c r="E73">
        <v>17</v>
      </c>
      <c r="F73">
        <v>46.9</v>
      </c>
      <c r="G73">
        <v>798</v>
      </c>
      <c r="H73">
        <v>230</v>
      </c>
      <c r="I73">
        <v>94</v>
      </c>
      <c r="J73">
        <v>1</v>
      </c>
      <c r="K73">
        <v>472</v>
      </c>
      <c r="L73">
        <v>1</v>
      </c>
      <c r="M73"/>
      <c r="N73">
        <v>281</v>
      </c>
      <c r="O73">
        <v>281</v>
      </c>
      <c r="P73">
        <v>147</v>
      </c>
      <c r="Q73">
        <v>8</v>
      </c>
      <c r="R73">
        <v>14</v>
      </c>
      <c r="S73">
        <v>112</v>
      </c>
      <c r="T73"/>
    </row>
    <row r="74" spans="1:20" x14ac:dyDescent="0.2">
      <c r="A74">
        <v>3510401</v>
      </c>
      <c r="B74" t="s">
        <v>121</v>
      </c>
      <c r="C74" s="1">
        <v>3</v>
      </c>
      <c r="D74">
        <v>0.186</v>
      </c>
      <c r="E74">
        <v>18.600000000000001</v>
      </c>
      <c r="F74">
        <v>40.700000000000003</v>
      </c>
      <c r="G74">
        <v>757</v>
      </c>
      <c r="H74">
        <v>257</v>
      </c>
      <c r="I74">
        <v>91</v>
      </c>
      <c r="J74"/>
      <c r="K74">
        <v>408</v>
      </c>
      <c r="L74">
        <v>1</v>
      </c>
      <c r="M74"/>
      <c r="N74">
        <v>303</v>
      </c>
      <c r="O74">
        <v>303</v>
      </c>
      <c r="P74">
        <v>246</v>
      </c>
      <c r="Q74">
        <v>38</v>
      </c>
      <c r="R74">
        <v>18</v>
      </c>
      <c r="S74">
        <v>1</v>
      </c>
      <c r="T74"/>
    </row>
    <row r="75" spans="1:20" x14ac:dyDescent="0.2">
      <c r="A75">
        <v>3523602</v>
      </c>
      <c r="B75" t="s">
        <v>122</v>
      </c>
      <c r="C75" s="1">
        <v>2</v>
      </c>
      <c r="D75">
        <v>0.20300000000000001</v>
      </c>
      <c r="E75">
        <v>20.3</v>
      </c>
      <c r="F75">
        <v>37.299999999999997</v>
      </c>
      <c r="G75">
        <v>757</v>
      </c>
      <c r="H75">
        <v>321</v>
      </c>
      <c r="I75">
        <v>71</v>
      </c>
      <c r="J75"/>
      <c r="K75">
        <v>365</v>
      </c>
      <c r="L75"/>
      <c r="M75"/>
      <c r="N75">
        <v>314</v>
      </c>
      <c r="O75">
        <v>314</v>
      </c>
      <c r="P75">
        <v>265</v>
      </c>
      <c r="Q75">
        <v>35</v>
      </c>
      <c r="R75">
        <v>14</v>
      </c>
      <c r="S75"/>
      <c r="T75"/>
    </row>
    <row r="76" spans="1:20" x14ac:dyDescent="0.2">
      <c r="A76">
        <v>3507506</v>
      </c>
      <c r="B76" t="s">
        <v>123</v>
      </c>
      <c r="C76" s="1">
        <v>2</v>
      </c>
      <c r="D76">
        <v>0.11600000000000001</v>
      </c>
      <c r="E76">
        <v>11.6</v>
      </c>
      <c r="F76">
        <v>51.9</v>
      </c>
      <c r="G76">
        <v>602</v>
      </c>
      <c r="H76">
        <v>235</v>
      </c>
      <c r="I76">
        <v>52</v>
      </c>
      <c r="J76">
        <v>2</v>
      </c>
      <c r="K76">
        <v>313</v>
      </c>
      <c r="L76"/>
      <c r="M76"/>
      <c r="N76">
        <v>258</v>
      </c>
      <c r="O76">
        <v>258</v>
      </c>
      <c r="P76">
        <v>203</v>
      </c>
      <c r="Q76">
        <v>50</v>
      </c>
      <c r="R76">
        <v>5</v>
      </c>
      <c r="S76"/>
      <c r="T76"/>
    </row>
    <row r="77" spans="1:20" x14ac:dyDescent="0.2">
      <c r="A77">
        <v>3528403</v>
      </c>
      <c r="B77" t="s">
        <v>124</v>
      </c>
      <c r="C77" s="1">
        <v>2</v>
      </c>
      <c r="D77">
        <v>0.27600000000000002</v>
      </c>
      <c r="E77">
        <v>27.6</v>
      </c>
      <c r="F77">
        <v>20.7</v>
      </c>
      <c r="G77">
        <v>572</v>
      </c>
      <c r="H77">
        <v>156</v>
      </c>
      <c r="I77">
        <v>60</v>
      </c>
      <c r="J77">
        <v>3</v>
      </c>
      <c r="K77">
        <v>352</v>
      </c>
      <c r="L77">
        <v>1</v>
      </c>
      <c r="M77"/>
      <c r="N77">
        <v>210</v>
      </c>
      <c r="O77">
        <v>210</v>
      </c>
      <c r="P77">
        <v>179</v>
      </c>
      <c r="Q77">
        <v>28</v>
      </c>
      <c r="R77">
        <v>3</v>
      </c>
      <c r="S77"/>
      <c r="T77"/>
    </row>
    <row r="78" spans="1:20" x14ac:dyDescent="0.2">
      <c r="A78">
        <v>3522109</v>
      </c>
      <c r="B78" t="s">
        <v>125</v>
      </c>
      <c r="C78" s="1">
        <v>3</v>
      </c>
      <c r="D78">
        <v>0.127</v>
      </c>
      <c r="E78">
        <v>12.7</v>
      </c>
      <c r="F78">
        <v>43.6</v>
      </c>
      <c r="G78">
        <v>554</v>
      </c>
      <c r="H78">
        <v>214</v>
      </c>
      <c r="I78">
        <v>49</v>
      </c>
      <c r="J78"/>
      <c r="K78">
        <v>290</v>
      </c>
      <c r="L78">
        <v>1</v>
      </c>
      <c r="M78"/>
      <c r="N78">
        <v>279</v>
      </c>
      <c r="O78">
        <v>279</v>
      </c>
      <c r="P78">
        <v>192</v>
      </c>
      <c r="Q78">
        <v>24</v>
      </c>
      <c r="R78">
        <v>63</v>
      </c>
      <c r="S78"/>
      <c r="T78"/>
    </row>
    <row r="79" spans="1:20" x14ac:dyDescent="0.2">
      <c r="A79">
        <v>3543907</v>
      </c>
      <c r="B79" t="s">
        <v>126</v>
      </c>
      <c r="C79" s="1">
        <v>3</v>
      </c>
      <c r="D79">
        <v>0.21099999999999999</v>
      </c>
      <c r="E79">
        <v>21.1</v>
      </c>
      <c r="F79">
        <v>25.9</v>
      </c>
      <c r="G79">
        <v>546</v>
      </c>
      <c r="H79">
        <v>174</v>
      </c>
      <c r="I79">
        <v>76</v>
      </c>
      <c r="J79"/>
      <c r="K79">
        <v>296</v>
      </c>
      <c r="L79"/>
      <c r="M79"/>
      <c r="N79">
        <v>206</v>
      </c>
      <c r="O79">
        <v>206</v>
      </c>
      <c r="P79">
        <v>171</v>
      </c>
      <c r="Q79">
        <v>17</v>
      </c>
      <c r="R79">
        <v>4</v>
      </c>
      <c r="S79">
        <v>14</v>
      </c>
      <c r="T79"/>
    </row>
    <row r="80" spans="1:20" x14ac:dyDescent="0.2">
      <c r="A80">
        <v>3501608</v>
      </c>
      <c r="B80" t="s">
        <v>127</v>
      </c>
      <c r="C80" s="1">
        <v>1</v>
      </c>
      <c r="D80">
        <v>7.4999999999999997E-2</v>
      </c>
      <c r="E80">
        <v>7.5</v>
      </c>
      <c r="F80">
        <v>64.099999999999994</v>
      </c>
      <c r="G80">
        <v>481</v>
      </c>
      <c r="H80">
        <v>145</v>
      </c>
      <c r="I80">
        <v>60</v>
      </c>
      <c r="J80"/>
      <c r="K80">
        <v>276</v>
      </c>
      <c r="L80"/>
      <c r="M80"/>
      <c r="N80">
        <v>174</v>
      </c>
      <c r="O80">
        <v>174</v>
      </c>
      <c r="P80">
        <v>163</v>
      </c>
      <c r="Q80">
        <v>11</v>
      </c>
      <c r="R80"/>
      <c r="S80"/>
      <c r="T80"/>
    </row>
    <row r="81" spans="1:20" x14ac:dyDescent="0.2">
      <c r="A81">
        <v>3512407</v>
      </c>
      <c r="B81" t="s">
        <v>128</v>
      </c>
      <c r="C81" s="1">
        <v>2</v>
      </c>
      <c r="D81">
        <v>4.8000000000000001E-2</v>
      </c>
      <c r="E81">
        <v>4.8</v>
      </c>
      <c r="F81">
        <v>74.8</v>
      </c>
      <c r="G81">
        <v>359</v>
      </c>
      <c r="H81">
        <v>121</v>
      </c>
      <c r="I81">
        <v>80</v>
      </c>
      <c r="J81"/>
      <c r="K81">
        <v>158</v>
      </c>
      <c r="L81"/>
      <c r="M81"/>
      <c r="N81">
        <v>100</v>
      </c>
      <c r="O81">
        <v>100</v>
      </c>
      <c r="P81">
        <v>100</v>
      </c>
      <c r="Q81"/>
      <c r="R81"/>
      <c r="S81"/>
      <c r="T81"/>
    </row>
    <row r="82" spans="1:20" x14ac:dyDescent="0.2">
      <c r="A82">
        <v>3501905</v>
      </c>
      <c r="B82" t="s">
        <v>129</v>
      </c>
      <c r="C82" s="1">
        <v>1</v>
      </c>
      <c r="D82">
        <v>0.191</v>
      </c>
      <c r="E82">
        <v>19.100000000000001</v>
      </c>
      <c r="F82">
        <v>18.8</v>
      </c>
      <c r="G82">
        <v>359</v>
      </c>
      <c r="H82">
        <v>130</v>
      </c>
      <c r="I82">
        <v>46</v>
      </c>
      <c r="J82"/>
      <c r="K82">
        <v>183</v>
      </c>
      <c r="L82"/>
      <c r="M82"/>
      <c r="N82">
        <v>145</v>
      </c>
      <c r="O82">
        <v>144</v>
      </c>
      <c r="P82">
        <v>110</v>
      </c>
      <c r="Q82">
        <v>17</v>
      </c>
      <c r="R82">
        <v>17</v>
      </c>
      <c r="S82"/>
      <c r="T82">
        <v>1</v>
      </c>
    </row>
    <row r="83" spans="1:20" x14ac:dyDescent="0.2">
      <c r="A83">
        <v>3508504</v>
      </c>
      <c r="B83" t="s">
        <v>130</v>
      </c>
      <c r="C83" s="1">
        <v>1</v>
      </c>
      <c r="D83">
        <v>2.7E-2</v>
      </c>
      <c r="E83">
        <v>2.7</v>
      </c>
      <c r="F83">
        <v>127</v>
      </c>
      <c r="G83">
        <v>343</v>
      </c>
      <c r="H83">
        <v>110</v>
      </c>
      <c r="I83">
        <v>24</v>
      </c>
      <c r="J83"/>
      <c r="K83">
        <v>209</v>
      </c>
      <c r="L83"/>
      <c r="M83"/>
      <c r="N83">
        <v>126</v>
      </c>
      <c r="O83">
        <v>126</v>
      </c>
      <c r="P83">
        <v>104</v>
      </c>
      <c r="Q83">
        <v>21</v>
      </c>
      <c r="R83">
        <v>1</v>
      </c>
      <c r="S83"/>
      <c r="T83"/>
    </row>
    <row r="84" spans="1:20" x14ac:dyDescent="0.2">
      <c r="A84">
        <v>3545209</v>
      </c>
      <c r="B84" t="s">
        <v>131</v>
      </c>
      <c r="C84" s="1">
        <v>1</v>
      </c>
      <c r="D84">
        <v>1.2E-2</v>
      </c>
      <c r="E84">
        <v>1.2</v>
      </c>
      <c r="F84">
        <v>279.2</v>
      </c>
      <c r="G84">
        <v>335</v>
      </c>
      <c r="H84">
        <v>111</v>
      </c>
      <c r="I84">
        <v>53</v>
      </c>
      <c r="J84"/>
      <c r="K84">
        <v>169</v>
      </c>
      <c r="L84">
        <v>2</v>
      </c>
      <c r="M84"/>
      <c r="N84">
        <v>131</v>
      </c>
      <c r="O84">
        <v>131</v>
      </c>
      <c r="P84">
        <v>113</v>
      </c>
      <c r="Q84">
        <v>17</v>
      </c>
      <c r="R84">
        <v>1</v>
      </c>
      <c r="S84"/>
      <c r="T84"/>
    </row>
    <row r="85" spans="1:20" x14ac:dyDescent="0.2">
      <c r="A85">
        <v>3537602</v>
      </c>
      <c r="B85" t="s">
        <v>132</v>
      </c>
      <c r="C85" s="1">
        <v>1</v>
      </c>
      <c r="D85">
        <v>3.2000000000000001E-2</v>
      </c>
      <c r="E85">
        <v>3.2</v>
      </c>
      <c r="F85">
        <v>86.6</v>
      </c>
      <c r="G85">
        <v>277</v>
      </c>
      <c r="H85">
        <v>86</v>
      </c>
      <c r="I85">
        <v>30</v>
      </c>
      <c r="J85"/>
      <c r="K85">
        <v>161</v>
      </c>
      <c r="L85"/>
      <c r="M85"/>
      <c r="N85">
        <v>98</v>
      </c>
      <c r="O85">
        <v>98</v>
      </c>
      <c r="P85">
        <v>87</v>
      </c>
      <c r="Q85">
        <v>9</v>
      </c>
      <c r="R85">
        <v>2</v>
      </c>
      <c r="S85"/>
      <c r="T85"/>
    </row>
    <row r="86" spans="1:20" x14ac:dyDescent="0.2">
      <c r="A86">
        <v>3519501</v>
      </c>
      <c r="B86" t="s">
        <v>133</v>
      </c>
      <c r="C86" s="1">
        <v>1</v>
      </c>
      <c r="D86">
        <v>2.7E-2</v>
      </c>
      <c r="E86">
        <v>2.7</v>
      </c>
      <c r="F86">
        <v>99.3</v>
      </c>
      <c r="G86">
        <v>268</v>
      </c>
      <c r="H86">
        <v>114</v>
      </c>
      <c r="I86">
        <v>31</v>
      </c>
      <c r="J86"/>
      <c r="K86">
        <v>123</v>
      </c>
      <c r="L86"/>
      <c r="M86"/>
      <c r="N86">
        <v>107</v>
      </c>
      <c r="O86">
        <v>107</v>
      </c>
      <c r="P86">
        <v>87</v>
      </c>
      <c r="Q86">
        <v>18</v>
      </c>
      <c r="R86">
        <v>2</v>
      </c>
      <c r="S86"/>
      <c r="T86"/>
    </row>
    <row r="87" spans="1:20" x14ac:dyDescent="0.2">
      <c r="A87">
        <v>3527306</v>
      </c>
      <c r="B87" t="s">
        <v>134</v>
      </c>
      <c r="C87" s="1">
        <v>1</v>
      </c>
      <c r="D87">
        <v>1.0999999999999999E-2</v>
      </c>
      <c r="E87">
        <v>1.1000000000000001</v>
      </c>
      <c r="F87">
        <v>223.6</v>
      </c>
      <c r="G87">
        <v>246</v>
      </c>
      <c r="H87">
        <v>94</v>
      </c>
      <c r="I87">
        <v>13</v>
      </c>
      <c r="J87"/>
      <c r="K87">
        <v>139</v>
      </c>
      <c r="L87"/>
      <c r="M87"/>
      <c r="N87">
        <v>79</v>
      </c>
      <c r="O87">
        <v>79</v>
      </c>
      <c r="P87">
        <v>79</v>
      </c>
      <c r="Q87"/>
      <c r="R87"/>
      <c r="S87"/>
      <c r="T87"/>
    </row>
    <row r="88" spans="1:20" x14ac:dyDescent="0.2">
      <c r="A88">
        <v>3507605</v>
      </c>
      <c r="B88" t="s">
        <v>135</v>
      </c>
      <c r="C88" s="1">
        <v>1</v>
      </c>
      <c r="D88">
        <v>1.9E-2</v>
      </c>
      <c r="E88">
        <v>1.9</v>
      </c>
      <c r="F88">
        <v>117.4</v>
      </c>
      <c r="G88">
        <v>223</v>
      </c>
      <c r="H88">
        <v>95</v>
      </c>
      <c r="I88">
        <v>17</v>
      </c>
      <c r="J88"/>
      <c r="K88">
        <v>111</v>
      </c>
      <c r="L88"/>
      <c r="M88"/>
      <c r="N88">
        <v>90</v>
      </c>
      <c r="O88">
        <v>90</v>
      </c>
      <c r="P88">
        <v>83</v>
      </c>
      <c r="Q88">
        <v>1</v>
      </c>
      <c r="R88">
        <v>2</v>
      </c>
      <c r="S88">
        <v>4</v>
      </c>
      <c r="T88"/>
    </row>
    <row r="89" spans="1:20" x14ac:dyDescent="0.2">
      <c r="A89">
        <v>3504503</v>
      </c>
      <c r="B89" t="s">
        <v>136</v>
      </c>
      <c r="C89" s="1">
        <v>1</v>
      </c>
      <c r="D89">
        <v>5.5E-2</v>
      </c>
      <c r="E89">
        <v>5.5</v>
      </c>
      <c r="F89">
        <v>30.9</v>
      </c>
      <c r="G89">
        <v>170</v>
      </c>
      <c r="H89">
        <v>63</v>
      </c>
      <c r="I89">
        <v>12</v>
      </c>
      <c r="J89"/>
      <c r="K89">
        <v>95</v>
      </c>
      <c r="L89"/>
      <c r="M89"/>
      <c r="N89">
        <v>70</v>
      </c>
      <c r="O89">
        <v>70</v>
      </c>
      <c r="P89">
        <v>24</v>
      </c>
      <c r="Q89">
        <v>20</v>
      </c>
      <c r="R89">
        <v>1</v>
      </c>
      <c r="S89">
        <v>25</v>
      </c>
      <c r="T89"/>
    </row>
    <row r="90" spans="1:20" x14ac:dyDescent="0.2">
      <c r="A90">
        <v>3536703</v>
      </c>
      <c r="B90" t="s">
        <v>137</v>
      </c>
      <c r="C90" s="1">
        <v>1</v>
      </c>
      <c r="D90">
        <v>0.39600000000000002</v>
      </c>
      <c r="E90">
        <v>39.6</v>
      </c>
      <c r="F90">
        <v>4</v>
      </c>
      <c r="G90">
        <v>158</v>
      </c>
      <c r="H90">
        <v>76</v>
      </c>
      <c r="I90">
        <v>13</v>
      </c>
      <c r="J90">
        <v>1</v>
      </c>
      <c r="K90">
        <v>68</v>
      </c>
      <c r="L90"/>
      <c r="M90"/>
      <c r="N90">
        <v>101</v>
      </c>
      <c r="O90">
        <v>101</v>
      </c>
      <c r="P90">
        <v>58</v>
      </c>
      <c r="Q90">
        <v>10</v>
      </c>
      <c r="R90">
        <v>29</v>
      </c>
      <c r="S90">
        <v>4</v>
      </c>
      <c r="T90"/>
    </row>
    <row r="91" spans="1:20" x14ac:dyDescent="0.2">
      <c r="A91">
        <v>3552700</v>
      </c>
      <c r="B91" t="s">
        <v>138</v>
      </c>
      <c r="C91" s="1">
        <v>1</v>
      </c>
      <c r="D91">
        <v>1.4E-2</v>
      </c>
      <c r="E91">
        <v>1.4</v>
      </c>
      <c r="F91">
        <v>110</v>
      </c>
      <c r="G91">
        <v>154</v>
      </c>
      <c r="H91">
        <v>39</v>
      </c>
      <c r="I91">
        <v>12</v>
      </c>
      <c r="J91"/>
      <c r="K91">
        <v>103</v>
      </c>
      <c r="L91"/>
      <c r="M91"/>
      <c r="N91">
        <v>63</v>
      </c>
      <c r="O91">
        <v>63</v>
      </c>
      <c r="P91">
        <v>55</v>
      </c>
      <c r="Q91">
        <v>8</v>
      </c>
      <c r="R91"/>
      <c r="S91"/>
      <c r="T91"/>
    </row>
    <row r="92" spans="1:20" x14ac:dyDescent="0.2">
      <c r="A92">
        <v>3538006</v>
      </c>
      <c r="B92" t="s">
        <v>139</v>
      </c>
      <c r="C92" s="1">
        <v>1</v>
      </c>
      <c r="D92">
        <v>2.5000000000000001E-2</v>
      </c>
      <c r="E92">
        <v>2.5</v>
      </c>
      <c r="F92">
        <v>59.2</v>
      </c>
      <c r="G92">
        <v>148</v>
      </c>
      <c r="H92">
        <v>56</v>
      </c>
      <c r="I92">
        <v>29</v>
      </c>
      <c r="J92"/>
      <c r="K92">
        <v>63</v>
      </c>
      <c r="L92"/>
      <c r="M92"/>
      <c r="N92">
        <v>60</v>
      </c>
      <c r="O92">
        <v>60</v>
      </c>
      <c r="P92">
        <v>48</v>
      </c>
      <c r="Q92">
        <v>10</v>
      </c>
      <c r="R92">
        <v>2</v>
      </c>
      <c r="S92"/>
      <c r="T92"/>
    </row>
    <row r="93" spans="1:20" x14ac:dyDescent="0.2">
      <c r="A93">
        <v>3541307</v>
      </c>
      <c r="B93" t="s">
        <v>140</v>
      </c>
      <c r="C93" s="1">
        <v>1</v>
      </c>
      <c r="D93">
        <v>7.0999999999999994E-2</v>
      </c>
      <c r="E93">
        <v>7.1</v>
      </c>
      <c r="F93">
        <v>13.5</v>
      </c>
      <c r="G93">
        <v>96</v>
      </c>
      <c r="H93">
        <v>30</v>
      </c>
      <c r="I93">
        <v>5</v>
      </c>
      <c r="J93"/>
      <c r="K93">
        <v>61</v>
      </c>
      <c r="L93"/>
      <c r="M93"/>
      <c r="N93">
        <v>46</v>
      </c>
      <c r="O93">
        <v>45</v>
      </c>
      <c r="P93">
        <v>33</v>
      </c>
      <c r="Q93">
        <v>8</v>
      </c>
      <c r="R93">
        <v>3</v>
      </c>
      <c r="S93">
        <v>1</v>
      </c>
      <c r="T93">
        <v>1</v>
      </c>
    </row>
  </sheetData>
  <autoFilter ref="A1:T93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"/>
  <sheetViews>
    <sheetView tabSelected="1" topLeftCell="C1" workbookViewId="0">
      <selection activeCell="B38" sqref="B38"/>
    </sheetView>
  </sheetViews>
  <sheetFormatPr defaultRowHeight="15" x14ac:dyDescent="0.2"/>
  <cols>
    <col min="1" max="1" width="29.99609375" style="2" customWidth="1"/>
    <col min="2" max="2" width="23.9453125" style="2" customWidth="1"/>
    <col min="3" max="3" width="20.04296875" style="2" customWidth="1"/>
    <col min="4" max="4" width="4.03515625" style="2" customWidth="1"/>
    <col min="5" max="10" width="13.046875" style="2" customWidth="1"/>
  </cols>
  <sheetData>
    <row r="1" spans="1:9" ht="18.75" x14ac:dyDescent="0.25">
      <c r="A1" s="15" t="s">
        <v>0</v>
      </c>
      <c r="B1" s="12"/>
      <c r="C1" s="12"/>
      <c r="D1" s="12"/>
      <c r="E1" s="12"/>
      <c r="F1" s="12"/>
      <c r="G1" s="12"/>
      <c r="H1" s="12"/>
      <c r="I1" s="12"/>
    </row>
    <row r="2" spans="1:9" x14ac:dyDescent="0.2">
      <c r="A2" s="6"/>
    </row>
    <row r="4" spans="1:9" x14ac:dyDescent="0.2">
      <c r="A4" s="11" t="s">
        <v>5</v>
      </c>
      <c r="B4" s="12"/>
    </row>
    <row r="5" spans="1:9" x14ac:dyDescent="0.2">
      <c r="A5" s="14" t="s">
        <v>7</v>
      </c>
      <c r="B5" s="12"/>
      <c r="C5" s="12"/>
      <c r="D5" s="12"/>
      <c r="E5" s="12"/>
      <c r="F5" s="12"/>
      <c r="G5" s="12"/>
      <c r="H5" s="12"/>
      <c r="I5" s="12"/>
    </row>
    <row r="7" spans="1:9" x14ac:dyDescent="0.2">
      <c r="A7" s="8" t="s">
        <v>9</v>
      </c>
      <c r="B7" s="8" t="s">
        <v>10</v>
      </c>
      <c r="C7" s="7"/>
      <c r="D7" s="7"/>
      <c r="E7" s="7"/>
      <c r="F7" s="7"/>
      <c r="G7" s="7"/>
      <c r="H7" s="7"/>
      <c r="I7" s="7"/>
    </row>
    <row r="8" spans="1:9" x14ac:dyDescent="0.2">
      <c r="A8" s="9" t="s">
        <v>3</v>
      </c>
      <c r="B8" s="16">
        <f>SUM(in!G2:G93)</f>
        <v>3630519</v>
      </c>
    </row>
    <row r="10" spans="1:9" x14ac:dyDescent="0.2">
      <c r="A10" s="7" t="s">
        <v>11</v>
      </c>
      <c r="B10" s="13" t="s">
        <v>12</v>
      </c>
      <c r="C10" s="12"/>
      <c r="D10" s="12"/>
      <c r="E10" s="12"/>
      <c r="F10" s="12"/>
      <c r="G10" s="12"/>
      <c r="H10" s="12"/>
      <c r="I10" s="12"/>
    </row>
    <row r="11" spans="1:9" x14ac:dyDescent="0.2">
      <c r="B11" s="12"/>
      <c r="C11" s="12"/>
      <c r="D11" s="12"/>
      <c r="E11" s="12"/>
      <c r="F11" s="12"/>
      <c r="G11" s="12"/>
      <c r="H11" s="12"/>
      <c r="I11" s="12"/>
    </row>
    <row r="13" spans="1:9" x14ac:dyDescent="0.2">
      <c r="A13" s="11" t="s">
        <v>13</v>
      </c>
      <c r="B13" s="12"/>
    </row>
    <row r="14" spans="1:9" x14ac:dyDescent="0.2">
      <c r="A14" s="14" t="s">
        <v>14</v>
      </c>
      <c r="B14" s="12"/>
      <c r="C14" s="12"/>
      <c r="D14" s="12"/>
      <c r="E14" s="12"/>
      <c r="F14" s="12"/>
      <c r="G14" s="12"/>
      <c r="H14" s="12"/>
      <c r="I14" s="12"/>
    </row>
    <row r="16" spans="1:9" x14ac:dyDescent="0.2">
      <c r="A16" s="8" t="s">
        <v>1</v>
      </c>
      <c r="B16" s="8" t="s">
        <v>2</v>
      </c>
    </row>
    <row r="17" spans="1:9" x14ac:dyDescent="0.2">
      <c r="A17" s="9" t="s">
        <v>4</v>
      </c>
      <c r="B17" s="16">
        <f>MAX(in!G2:G93)</f>
        <v>1728265</v>
      </c>
    </row>
    <row r="18" spans="1:9" x14ac:dyDescent="0.2">
      <c r="A18" s="9" t="s">
        <v>15</v>
      </c>
      <c r="B18" s="9" t="s">
        <v>16</v>
      </c>
    </row>
    <row r="20" spans="1:9" x14ac:dyDescent="0.2">
      <c r="A20" s="7" t="s">
        <v>11</v>
      </c>
      <c r="B20" s="13" t="s">
        <v>17</v>
      </c>
      <c r="C20" s="12"/>
      <c r="D20" s="12"/>
      <c r="E20" s="12"/>
      <c r="F20" s="12"/>
      <c r="G20" s="12"/>
      <c r="H20" s="12"/>
      <c r="I20" s="12"/>
    </row>
    <row r="21" spans="1:9" x14ac:dyDescent="0.2">
      <c r="B21" s="12"/>
      <c r="C21" s="12"/>
      <c r="D21" s="12"/>
      <c r="E21" s="12"/>
      <c r="F21" s="12"/>
      <c r="G21" s="12"/>
      <c r="H21" s="12"/>
      <c r="I21" s="12"/>
    </row>
    <row r="23" spans="1:9" x14ac:dyDescent="0.2">
      <c r="A23" s="11" t="s">
        <v>18</v>
      </c>
      <c r="B23" s="12"/>
    </row>
    <row r="24" spans="1:9" x14ac:dyDescent="0.2">
      <c r="A24" s="14" t="s">
        <v>19</v>
      </c>
      <c r="B24" s="12"/>
      <c r="C24" s="12"/>
      <c r="D24" s="12"/>
      <c r="E24" s="12"/>
      <c r="F24" s="12"/>
      <c r="G24" s="12"/>
      <c r="H24" s="12"/>
      <c r="I24" s="12"/>
    </row>
    <row r="26" spans="1:9" x14ac:dyDescent="0.2">
      <c r="A26" s="8" t="s">
        <v>1</v>
      </c>
      <c r="B26" s="8" t="s">
        <v>2</v>
      </c>
    </row>
    <row r="27" spans="1:9" x14ac:dyDescent="0.2">
      <c r="A27" s="9" t="s">
        <v>6</v>
      </c>
      <c r="B27" s="9">
        <f>MAX(in!F2:F93)</f>
        <v>403.9</v>
      </c>
    </row>
    <row r="28" spans="1:9" x14ac:dyDescent="0.2">
      <c r="A28" s="9" t="s">
        <v>15</v>
      </c>
      <c r="B28" s="9" t="s">
        <v>20</v>
      </c>
    </row>
    <row r="30" spans="1:9" x14ac:dyDescent="0.2">
      <c r="A30" s="7" t="s">
        <v>11</v>
      </c>
      <c r="B30" s="13" t="s">
        <v>21</v>
      </c>
      <c r="C30" s="12"/>
      <c r="D30" s="12"/>
      <c r="E30" s="12"/>
      <c r="F30" s="12"/>
      <c r="G30" s="12"/>
      <c r="H30" s="12"/>
      <c r="I30" s="12"/>
    </row>
    <row r="31" spans="1:9" x14ac:dyDescent="0.2">
      <c r="B31" s="12"/>
      <c r="C31" s="12"/>
      <c r="D31" s="12"/>
      <c r="E31" s="12"/>
      <c r="F31" s="12"/>
      <c r="G31" s="12"/>
      <c r="H31" s="12"/>
      <c r="I31" s="12"/>
    </row>
    <row r="33" spans="1:9" x14ac:dyDescent="0.2">
      <c r="A33" s="11" t="s">
        <v>22</v>
      </c>
      <c r="B33" s="12"/>
    </row>
    <row r="34" spans="1:9" x14ac:dyDescent="0.2">
      <c r="A34" s="14" t="s">
        <v>23</v>
      </c>
      <c r="B34" s="12"/>
      <c r="C34" s="12"/>
      <c r="D34" s="12"/>
      <c r="E34" s="12"/>
      <c r="F34" s="12"/>
      <c r="G34" s="12"/>
      <c r="H34" s="12"/>
      <c r="I34" s="12"/>
    </row>
    <row r="36" spans="1:9" x14ac:dyDescent="0.2">
      <c r="A36" s="8" t="s">
        <v>1</v>
      </c>
      <c r="B36" s="8" t="s">
        <v>2</v>
      </c>
    </row>
    <row r="37" spans="1:9" x14ac:dyDescent="0.2">
      <c r="A37" s="9" t="s">
        <v>8</v>
      </c>
      <c r="B37" s="16">
        <f>SUM(in!N2:N93)</f>
        <v>1361219</v>
      </c>
    </row>
    <row r="38" spans="1:9" x14ac:dyDescent="0.2">
      <c r="A38" s="9" t="s">
        <v>24</v>
      </c>
      <c r="B38" s="16">
        <f>AVERAGE(in!N2:N93)</f>
        <v>14795.858695652174</v>
      </c>
    </row>
    <row r="40" spans="1:9" x14ac:dyDescent="0.2">
      <c r="A40" s="7" t="s">
        <v>11</v>
      </c>
      <c r="B40" s="13" t="s">
        <v>25</v>
      </c>
      <c r="C40" s="12"/>
      <c r="D40" s="12"/>
      <c r="E40" s="12"/>
      <c r="F40" s="12"/>
      <c r="G40" s="12"/>
      <c r="H40" s="12"/>
      <c r="I40" s="12"/>
    </row>
    <row r="41" spans="1:9" x14ac:dyDescent="0.2">
      <c r="B41" s="12"/>
      <c r="C41" s="12"/>
      <c r="D41" s="12"/>
      <c r="E41" s="12"/>
      <c r="F41" s="12"/>
      <c r="G41" s="12"/>
      <c r="H41" s="12"/>
      <c r="I41" s="12"/>
    </row>
    <row r="43" spans="1:9" x14ac:dyDescent="0.2">
      <c r="A43" s="11" t="s">
        <v>26</v>
      </c>
      <c r="B43" s="12"/>
    </row>
    <row r="44" spans="1:9" x14ac:dyDescent="0.2">
      <c r="A44" s="14" t="s">
        <v>27</v>
      </c>
      <c r="B44" s="12"/>
      <c r="C44" s="12"/>
      <c r="D44" s="12"/>
      <c r="E44" s="12"/>
      <c r="F44" s="12"/>
      <c r="G44" s="12"/>
      <c r="H44" s="12"/>
      <c r="I44" s="12"/>
    </row>
    <row r="46" spans="1:9" x14ac:dyDescent="0.2">
      <c r="A46" s="8" t="s">
        <v>1</v>
      </c>
      <c r="B46" s="8" t="s">
        <v>2</v>
      </c>
    </row>
    <row r="47" spans="1:9" x14ac:dyDescent="0.2">
      <c r="A47" s="9" t="s">
        <v>28</v>
      </c>
      <c r="B47" s="16">
        <f>in!G2</f>
        <v>1728265</v>
      </c>
    </row>
    <row r="48" spans="1:9" x14ac:dyDescent="0.2">
      <c r="A48" s="9" t="s">
        <v>3</v>
      </c>
      <c r="B48" s="16">
        <f>SUM(in!G2:G93)</f>
        <v>3630519</v>
      </c>
    </row>
    <row r="49" spans="1:9" x14ac:dyDescent="0.2">
      <c r="A49" s="9" t="s">
        <v>29</v>
      </c>
      <c r="B49" s="10">
        <f>B47/B48</f>
        <v>0.4760379989748022</v>
      </c>
    </row>
    <row r="51" spans="1:9" x14ac:dyDescent="0.2">
      <c r="A51" s="7" t="s">
        <v>11</v>
      </c>
      <c r="B51" s="13" t="s">
        <v>30</v>
      </c>
      <c r="C51" s="12"/>
      <c r="D51" s="12"/>
      <c r="E51" s="12"/>
      <c r="F51" s="12"/>
      <c r="G51" s="12"/>
      <c r="H51" s="12"/>
      <c r="I51" s="12"/>
    </row>
    <row r="52" spans="1:9" x14ac:dyDescent="0.2">
      <c r="B52" s="12"/>
      <c r="C52" s="12"/>
      <c r="D52" s="12"/>
      <c r="E52" s="12"/>
      <c r="F52" s="12"/>
      <c r="G52" s="12"/>
      <c r="H52" s="12"/>
      <c r="I52" s="12"/>
    </row>
  </sheetData>
  <mergeCells count="16">
    <mergeCell ref="A1:I1"/>
    <mergeCell ref="B20:I21"/>
    <mergeCell ref="B10:I11"/>
    <mergeCell ref="A13:B13"/>
    <mergeCell ref="B40:I41"/>
    <mergeCell ref="A23:B23"/>
    <mergeCell ref="B30:I31"/>
    <mergeCell ref="A24:I24"/>
    <mergeCell ref="A34:I34"/>
    <mergeCell ref="A4:B4"/>
    <mergeCell ref="B51:I52"/>
    <mergeCell ref="A5:I5"/>
    <mergeCell ref="A43:B43"/>
    <mergeCell ref="A33:B33"/>
    <mergeCell ref="A14:I14"/>
    <mergeCell ref="A44:I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</vt:lpstr>
      <vt:lpstr>Análise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Rocha</dc:creator>
  <dcterms:created xsi:type="dcterms:W3CDTF">2026-08-29T19:14:31Z</dcterms:created>
  <dcterms:modified xsi:type="dcterms:W3CDTF">2026-09-11T17:08:08Z</dcterms:modified>
</cp:coreProperties>
</file>